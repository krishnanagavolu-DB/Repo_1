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08-31-2026" sheetId="1" state="visible" r:id="rId1"/>
    <sheet name="09-15-2026" sheetId="2" state="visible" r:id="rId2"/>
    <sheet name="10-01-2026" sheetId="3" state="visible" r:id="rId3"/>
    <sheet name="10-16-2026" sheetId="4" state="visible" r:id="rId4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rgb="FF1F3864"/>
      <sz val="16"/>
      <scheme val="minor"/>
    </font>
    <font>
      <name val="Aptos Narrow"/>
      <family val="2"/>
      <i val="1"/>
      <color rgb="FF595959"/>
      <sz val="11"/>
      <scheme val="minor"/>
    </font>
    <font>
      <name val="Aptos Narrow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right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0" fontId="1" fillId="4" borderId="1" pivotButton="0" quotePrefix="0" xfId="0"/>
    <xf numFmtId="3" fontId="1" fillId="4" borderId="1" applyAlignment="1" pivotButton="0" quotePrefix="0" xfId="0">
      <alignment horizontal="right"/>
    </xf>
    <xf numFmtId="0" fontId="1" fillId="3" borderId="1" pivotButton="0" quotePrefix="0" xfId="0"/>
    <xf numFmtId="3" fontId="1" fillId="3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Overview (Qty)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'08-31-2026'!$E$4</f>
              <strCache>
                <ptCount val="1"/>
                <pt idx="0">
                  <v>Qty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numFmt formatCode="#,##0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'08-31-2026'!$D$5:$D$8</f>
              <strCache>
                <ptCount val="4"/>
                <pt idx="0">
                  <v>Original Amount</v>
                </pt>
                <pt idx="1">
                  <v>Qty Shipped Since Feb</v>
                </pt>
                <pt idx="2">
                  <v>Remaining Balance</v>
                </pt>
                <pt idx="3">
                  <v>Forecasted Amount</v>
                </pt>
              </strCache>
            </strRef>
          </cat>
          <val>
            <numRef>
              <f>'08-31-2026'!$E$5:$E$8</f>
              <numCache>
                <formatCode>General</formatCode>
                <ptCount val="4"/>
                <pt idx="0">
                  <v>5700</v>
                </pt>
                <pt idx="1">
                  <v>1830</v>
                </pt>
                <pt idx="2">
                  <v>3870</v>
                </pt>
                <pt idx="3">
                  <v>3700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98777215"/>
        <axId val="798774527"/>
      </barChart>
      <catAx>
        <axId val="79877721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98774527"/>
        <crosses val="autoZero"/>
        <auto val="1"/>
        <lblAlgn val="ctr"/>
        <lblOffset val="100"/>
        <noMultiLvlLbl val="0"/>
      </catAx>
      <valAx>
        <axId val="79877452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98777215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Overview (Qty)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'09-15-2026'!$E$4</f>
              <strCache>
                <ptCount val="1"/>
                <pt idx="0">
                  <v>Qty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numFmt formatCode="#,##0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'09-15-2026'!$D$5:$D$8</f>
              <strCache>
                <ptCount val="4"/>
                <pt idx="0">
                  <v>Original Amount</v>
                </pt>
                <pt idx="1">
                  <v>Qty Shipped Since Feb</v>
                </pt>
                <pt idx="2">
                  <v>Remaining Balance</v>
                </pt>
                <pt idx="3">
                  <v>Forecasted Amount</v>
                </pt>
              </strCache>
            </strRef>
          </cat>
          <val>
            <numRef>
              <f>'09-15-2026'!$E$5:$E$8</f>
              <numCache>
                <formatCode>General</formatCode>
                <ptCount val="4"/>
                <pt idx="0">
                  <v>5700</v>
                </pt>
                <pt idx="1">
                  <v>1830</v>
                </pt>
                <pt idx="2">
                  <v>3770</v>
                </pt>
                <pt idx="3">
                  <v>3700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98777215"/>
        <axId val="798774527"/>
      </barChart>
      <catAx>
        <axId val="79877721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98774527"/>
        <crosses val="autoZero"/>
        <auto val="1"/>
        <lblAlgn val="ctr"/>
        <lblOffset val="100"/>
        <noMultiLvlLbl val="0"/>
      </catAx>
      <valAx>
        <axId val="79877452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98777215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Overview (Qty)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'10-01-2026'!$E$4</f>
              <strCache>
                <ptCount val="1"/>
                <pt idx="0">
                  <v>Qty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numFmt formatCode="#,##0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'10-01-2026'!$D$5:$D$8</f>
              <strCache>
                <ptCount val="4"/>
                <pt idx="0">
                  <v>Original Amount</v>
                </pt>
                <pt idx="1">
                  <v>Qty Shipped Since Feb</v>
                </pt>
                <pt idx="2">
                  <v>Remaining Balance</v>
                </pt>
                <pt idx="3">
                  <v>Forecasted Amount</v>
                </pt>
              </strCache>
            </strRef>
          </cat>
          <val>
            <numRef>
              <f>'10-01-2026'!$E$5:$E$8</f>
              <numCache>
                <formatCode>General</formatCode>
                <ptCount val="4"/>
                <pt idx="0">
                  <v>5700</v>
                </pt>
                <pt idx="1">
                  <v>1930</v>
                </pt>
                <pt idx="2">
                  <v>3650</v>
                </pt>
                <pt idx="3">
                  <v>3700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98777215"/>
        <axId val="798774527"/>
      </barChart>
      <catAx>
        <axId val="79877721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98774527"/>
        <crosses val="autoZero"/>
        <auto val="1"/>
        <lblAlgn val="ctr"/>
        <lblOffset val="100"/>
        <noMultiLvlLbl val="0"/>
      </catAx>
      <valAx>
        <axId val="79877452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98777215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9</row>
      <rowOff>0</rowOff>
    </from>
    <to>
      <col>11</col>
      <colOff>0</colOff>
      <row>25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9</row>
      <rowOff>0</rowOff>
    </from>
    <to>
      <col>11</col>
      <colOff>0</colOff>
      <row>25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9</row>
      <rowOff>0</rowOff>
    </from>
    <to>
      <col>11</col>
      <colOff>0</colOff>
      <row>25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="80" zoomScaleNormal="80" workbookViewId="0">
      <selection activeCell="B28" sqref="B28"/>
    </sheetView>
  </sheetViews>
  <sheetFormatPr baseColWidth="8" defaultColWidth="11" defaultRowHeight="16"/>
  <cols>
    <col width="31.58203125" customWidth="1" min="1" max="1"/>
    <col width="16.58203125" customWidth="1" min="2" max="2"/>
    <col width="15.5" customWidth="1" min="4" max="4"/>
  </cols>
  <sheetData>
    <row r="1" ht="21" customHeight="1">
      <c r="A1" s="11" t="inlineStr">
        <is>
          <t>Order Status Summary</t>
        </is>
      </c>
    </row>
    <row r="2">
      <c r="A2" s="12" t="inlineStr">
        <is>
          <t>Prepared for Dutch Bros</t>
        </is>
      </c>
    </row>
    <row r="4">
      <c r="A4" s="1" t="inlineStr">
        <is>
          <t>Metric</t>
        </is>
      </c>
      <c r="B4" s="2" t="inlineStr">
        <is>
          <t>Quantity</t>
        </is>
      </c>
      <c r="D4" t="inlineStr">
        <is>
          <t>Category</t>
        </is>
      </c>
      <c r="E4" t="inlineStr">
        <is>
          <t>Qty</t>
        </is>
      </c>
    </row>
    <row r="5">
      <c r="A5" s="3" t="inlineStr">
        <is>
          <t>Original Amount</t>
        </is>
      </c>
      <c r="B5" s="4" t="n">
        <v>5700</v>
      </c>
      <c r="D5">
        <f>A5</f>
        <v/>
      </c>
      <c r="E5">
        <f>B5</f>
        <v/>
      </c>
    </row>
    <row r="6">
      <c r="A6" s="5" t="inlineStr">
        <is>
          <t>Qty Shipped Since Feb</t>
        </is>
      </c>
      <c r="B6" s="6" t="n">
        <v>1830</v>
      </c>
      <c r="D6">
        <f>A6</f>
        <v/>
      </c>
      <c r="E6">
        <f>B6</f>
        <v/>
      </c>
    </row>
    <row r="7">
      <c r="A7" s="3" t="inlineStr">
        <is>
          <t>Qty in Picked Status</t>
        </is>
      </c>
      <c r="B7" s="4" t="n">
        <v>0</v>
      </c>
      <c r="D7">
        <f>A10</f>
        <v/>
      </c>
      <c r="E7">
        <f>B10</f>
        <v/>
      </c>
    </row>
    <row r="8">
      <c r="A8" s="7" t="inlineStr">
        <is>
          <t>Total Shipped / In Process</t>
        </is>
      </c>
      <c r="B8" s="8">
        <f>B6+B7</f>
        <v/>
      </c>
      <c r="D8">
        <f>A11</f>
        <v/>
      </c>
      <c r="E8">
        <f>B11</f>
        <v/>
      </c>
    </row>
    <row r="9">
      <c r="A9" s="3" t="inlineStr">
        <is>
          <t>Backlog Qty</t>
        </is>
      </c>
      <c r="B9" s="4" t="n">
        <v>0</v>
      </c>
    </row>
    <row r="10">
      <c r="A10" s="7" t="inlineStr">
        <is>
          <t>Remaining Balance</t>
        </is>
      </c>
      <c r="B10" s="8">
        <f>B5-B8</f>
        <v/>
      </c>
    </row>
    <row r="11">
      <c r="A11" s="9" t="inlineStr">
        <is>
          <t>Forecasted Amount</t>
        </is>
      </c>
      <c r="B11" s="10" t="n">
        <v>3700</v>
      </c>
    </row>
  </sheetData>
  <mergeCells count="2"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="70" zoomScaleNormal="70" workbookViewId="0">
      <selection activeCell="B26" sqref="B26"/>
    </sheetView>
  </sheetViews>
  <sheetFormatPr baseColWidth="8" defaultColWidth="11" defaultRowHeight="16"/>
  <cols>
    <col width="31.58203125" customWidth="1" min="1" max="1"/>
    <col width="16.58203125" customWidth="1" min="2" max="2"/>
    <col width="14.83203125" customWidth="1" min="4" max="4"/>
  </cols>
  <sheetData>
    <row r="1" ht="21" customHeight="1">
      <c r="A1" s="11" t="inlineStr">
        <is>
          <t>Order Status Summary</t>
        </is>
      </c>
    </row>
    <row r="2">
      <c r="A2" s="12" t="inlineStr">
        <is>
          <t>Prepared for Dutch Bros</t>
        </is>
      </c>
    </row>
    <row r="4">
      <c r="A4" s="1" t="inlineStr">
        <is>
          <t>Metric</t>
        </is>
      </c>
      <c r="B4" s="2" t="inlineStr">
        <is>
          <t>Quantity</t>
        </is>
      </c>
      <c r="D4" t="inlineStr">
        <is>
          <t>Category</t>
        </is>
      </c>
      <c r="E4" t="inlineStr">
        <is>
          <t>Qty</t>
        </is>
      </c>
    </row>
    <row r="5">
      <c r="A5" s="3" t="inlineStr">
        <is>
          <t>Original Amount</t>
        </is>
      </c>
      <c r="B5" s="4" t="n">
        <v>5700</v>
      </c>
      <c r="D5">
        <f>A5</f>
        <v/>
      </c>
      <c r="E5">
        <f>B5</f>
        <v/>
      </c>
    </row>
    <row r="6">
      <c r="A6" s="5" t="inlineStr">
        <is>
          <t>Qty Shipped Since Feb</t>
        </is>
      </c>
      <c r="B6" s="6" t="n">
        <v>1830</v>
      </c>
      <c r="D6">
        <f>A6</f>
        <v/>
      </c>
      <c r="E6">
        <f>B6</f>
        <v/>
      </c>
    </row>
    <row r="7">
      <c r="A7" s="3" t="inlineStr">
        <is>
          <t>Qty in Picked Status</t>
        </is>
      </c>
      <c r="B7" s="4" t="n">
        <v>100</v>
      </c>
      <c r="D7">
        <f>A10</f>
        <v/>
      </c>
      <c r="E7">
        <f>B10</f>
        <v/>
      </c>
    </row>
    <row r="8">
      <c r="A8" s="7" t="inlineStr">
        <is>
          <t>Total Shipped / In Process</t>
        </is>
      </c>
      <c r="B8" s="8">
        <f>B6+B7</f>
        <v/>
      </c>
      <c r="D8">
        <f>A11</f>
        <v/>
      </c>
      <c r="E8">
        <f>B11</f>
        <v/>
      </c>
    </row>
    <row r="9">
      <c r="A9" s="3" t="inlineStr">
        <is>
          <t>Backlog Qty</t>
        </is>
      </c>
      <c r="B9" s="4" t="n">
        <v>0</v>
      </c>
    </row>
    <row r="10">
      <c r="A10" s="7" t="inlineStr">
        <is>
          <t>Remaining Balance</t>
        </is>
      </c>
      <c r="B10" s="8">
        <f>B5-B8</f>
        <v/>
      </c>
    </row>
    <row r="11">
      <c r="A11" s="9" t="inlineStr">
        <is>
          <t>Forecasted Amount</t>
        </is>
      </c>
      <c r="B11" s="10" t="n">
        <v>3700</v>
      </c>
    </row>
  </sheetData>
  <mergeCells count="2"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zoomScale="70" zoomScaleNormal="70" workbookViewId="0">
      <selection activeCell="H3" sqref="H3"/>
    </sheetView>
  </sheetViews>
  <sheetFormatPr baseColWidth="8" defaultColWidth="11" defaultRowHeight="16"/>
  <cols>
    <col width="31.58203125" customWidth="1" min="1" max="1"/>
    <col width="16.58203125" customWidth="1" min="2" max="2"/>
    <col width="18.5" bestFit="1" customWidth="1" min="4" max="4"/>
  </cols>
  <sheetData>
    <row r="1" ht="21" customHeight="1">
      <c r="A1" s="11" t="inlineStr">
        <is>
          <t>Order Status Summary</t>
        </is>
      </c>
    </row>
    <row r="2">
      <c r="A2" s="12" t="inlineStr">
        <is>
          <t>Prepared for Dutch Bros</t>
        </is>
      </c>
    </row>
    <row r="4">
      <c r="A4" s="1" t="inlineStr">
        <is>
          <t>Metric</t>
        </is>
      </c>
      <c r="B4" s="2" t="inlineStr">
        <is>
          <t>Quantity</t>
        </is>
      </c>
      <c r="D4" t="inlineStr">
        <is>
          <t>Category</t>
        </is>
      </c>
      <c r="E4" t="inlineStr">
        <is>
          <t>Qty</t>
        </is>
      </c>
    </row>
    <row r="5">
      <c r="A5" s="3" t="inlineStr">
        <is>
          <t>Original Amount</t>
        </is>
      </c>
      <c r="B5" s="4" t="n">
        <v>5700</v>
      </c>
      <c r="D5">
        <f>A5</f>
        <v/>
      </c>
      <c r="E5">
        <f>B5</f>
        <v/>
      </c>
    </row>
    <row r="6">
      <c r="A6" s="5" t="inlineStr">
        <is>
          <t>Qty Shipped Since Feb</t>
        </is>
      </c>
      <c r="B6" s="6" t="n">
        <v>1930</v>
      </c>
      <c r="D6">
        <f>A6</f>
        <v/>
      </c>
      <c r="E6">
        <f>B6</f>
        <v/>
      </c>
    </row>
    <row r="7">
      <c r="A7" s="3" t="inlineStr">
        <is>
          <t>Qty in Picked Status</t>
        </is>
      </c>
      <c r="B7" s="4" t="n">
        <v>120</v>
      </c>
      <c r="D7">
        <f>A10</f>
        <v/>
      </c>
      <c r="E7">
        <f>B10</f>
        <v/>
      </c>
    </row>
    <row r="8">
      <c r="A8" s="7" t="inlineStr">
        <is>
          <t>Total Shipped / In Process</t>
        </is>
      </c>
      <c r="B8" s="8">
        <f>B6+B7</f>
        <v/>
      </c>
      <c r="D8">
        <f>A11</f>
        <v/>
      </c>
      <c r="E8">
        <f>B11</f>
        <v/>
      </c>
    </row>
    <row r="9">
      <c r="A9" s="3" t="inlineStr">
        <is>
          <t>Backlog Qty</t>
        </is>
      </c>
      <c r="B9" s="4" t="n">
        <v>0</v>
      </c>
    </row>
    <row r="10">
      <c r="A10" s="7" t="inlineStr">
        <is>
          <t>Remaining Balance</t>
        </is>
      </c>
      <c r="B10" s="8">
        <f>B5-B8</f>
        <v/>
      </c>
    </row>
    <row r="11">
      <c r="A11" s="9" t="inlineStr">
        <is>
          <t>Forecasted Amount</t>
        </is>
      </c>
      <c r="B11" s="10" t="n">
        <v>3700</v>
      </c>
    </row>
  </sheetData>
  <mergeCells count="2"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ColWidth="11" defaultRowHeight="16"/>
  <cols>
    <col width="31.58203125" customWidth="1" min="1" max="1"/>
    <col width="16.58203125" customWidth="1" min="2" max="2"/>
    <col width="18.5" bestFit="1" customWidth="1" min="4" max="4"/>
  </cols>
  <sheetData>
    <row r="1" ht="21" customHeight="1">
      <c r="A1" s="11" t="inlineStr">
        <is>
          <t>Order Status Summary</t>
        </is>
      </c>
    </row>
    <row r="2">
      <c r="A2" s="12" t="inlineStr">
        <is>
          <t>Prepared for Dutch Bros</t>
        </is>
      </c>
    </row>
    <row r="4">
      <c r="A4" s="1" t="inlineStr">
        <is>
          <t>Metric</t>
        </is>
      </c>
      <c r="B4" s="2" t="inlineStr">
        <is>
          <t>Quantity</t>
        </is>
      </c>
      <c r="D4" t="inlineStr">
        <is>
          <t>Category</t>
        </is>
      </c>
      <c r="E4" t="inlineStr">
        <is>
          <t>Qty</t>
        </is>
      </c>
    </row>
    <row r="5">
      <c r="A5" s="3" t="inlineStr">
        <is>
          <t>Original Amount</t>
        </is>
      </c>
      <c r="B5" s="4" t="n">
        <v>5700</v>
      </c>
      <c r="D5" t="inlineStr">
        <is>
          <t>Original Amount</t>
        </is>
      </c>
      <c r="E5" t="n">
        <v>5700</v>
      </c>
    </row>
    <row r="6">
      <c r="A6" s="5" t="inlineStr">
        <is>
          <t>Qty Shipped Since Feb</t>
        </is>
      </c>
      <c r="B6" s="6" t="n">
        <v>2070</v>
      </c>
      <c r="D6" t="inlineStr">
        <is>
          <t>Qty Shipped Since Feb</t>
        </is>
      </c>
      <c r="E6" t="n">
        <v>2070</v>
      </c>
    </row>
    <row r="7">
      <c r="A7" s="3" t="inlineStr">
        <is>
          <t>Qty in Picked Status</t>
        </is>
      </c>
      <c r="B7" s="4" t="n">
        <v>0</v>
      </c>
      <c r="D7" t="inlineStr">
        <is>
          <t>Remaining Balance</t>
        </is>
      </c>
      <c r="E7" t="n">
        <v>3630</v>
      </c>
    </row>
    <row r="8">
      <c r="A8" s="7" t="inlineStr">
        <is>
          <t>Total Shipped / In Process</t>
        </is>
      </c>
      <c r="B8" s="8" t="n">
        <v>2070</v>
      </c>
      <c r="D8" t="inlineStr">
        <is>
          <t>Forecasted Amount</t>
        </is>
      </c>
      <c r="E8" t="n">
        <v>3700</v>
      </c>
    </row>
    <row r="9">
      <c r="A9" s="3" t="inlineStr">
        <is>
          <t>Backlog Qty</t>
        </is>
      </c>
      <c r="B9" s="4" t="n">
        <v>0</v>
      </c>
    </row>
    <row r="10">
      <c r="A10" s="7" t="inlineStr">
        <is>
          <t>Remaining Balance</t>
        </is>
      </c>
      <c r="B10" s="8" t="n">
        <v>3630</v>
      </c>
    </row>
    <row r="11">
      <c r="A11" s="9" t="inlineStr">
        <is>
          <t>Forecasted Amount</t>
        </is>
      </c>
      <c r="B11" s="10" t="n">
        <v>3700</v>
      </c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Kimlie Warlick</dc:creator>
  <dcterms:created xsi:type="dcterms:W3CDTF">2026-08-31T17:58:06Z</dcterms:created>
  <dcterms:modified xsi:type="dcterms:W3CDTF">2026-10-16T17:45:48Z</dcterms:modified>
  <cp:lastModifiedBy>Patrick Hanks</cp:lastModifiedBy>
</cp:coreProperties>
</file>