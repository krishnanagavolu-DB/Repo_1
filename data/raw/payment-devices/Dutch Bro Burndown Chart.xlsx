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erifone365-my.sharepoint.com/personal/kimliew_verifone_com/Documents/Accounts/Dutch Bros/"/>
    </mc:Choice>
  </mc:AlternateContent>
  <xr:revisionPtr revIDLastSave="0" documentId="8_{59F1EF2D-1FAA-4E7B-9614-86C600589FFF}" xr6:coauthVersionLast="47" xr6:coauthVersionMax="47" xr10:uidLastSave="{00000000-0000-0000-0000-000000000000}"/>
  <bookViews>
    <workbookView xWindow="-110" yWindow="-110" windowWidth="19420" windowHeight="10300" activeTab="2" xr2:uid="{48018CA5-C9B6-1E4B-9535-1A71BF83F678}"/>
  </bookViews>
  <sheets>
    <sheet name="08-31-2026" sheetId="1" r:id="rId1"/>
    <sheet name="09-15-2026" sheetId="2" r:id="rId2"/>
    <sheet name="10-01-2026" sheetId="5" r:id="rId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5" l="1"/>
  <c r="E5" i="5"/>
  <c r="D6" i="5"/>
  <c r="E6" i="5"/>
  <c r="D7" i="5"/>
  <c r="E7" i="5"/>
  <c r="B8" i="5"/>
  <c r="D8" i="5"/>
  <c r="E8" i="5"/>
  <c r="B10" i="5"/>
  <c r="E8" i="2"/>
  <c r="D8" i="2"/>
  <c r="B8" i="2"/>
  <c r="B10" i="2" s="1"/>
  <c r="E7" i="2" s="1"/>
  <c r="D7" i="2"/>
  <c r="E6" i="2"/>
  <c r="D6" i="2"/>
  <c r="E5" i="2"/>
  <c r="D5" i="2"/>
  <c r="E8" i="1"/>
  <c r="D8" i="1"/>
  <c r="D7" i="1"/>
  <c r="E6" i="1"/>
  <c r="D6" i="1"/>
  <c r="E5" i="1"/>
  <c r="D5" i="1"/>
  <c r="B10" i="1"/>
  <c r="E7" i="1" s="1"/>
  <c r="B8" i="1"/>
</calcChain>
</file>

<file path=xl/sharedStrings.xml><?xml version="1.0" encoding="utf-8"?>
<sst xmlns="http://schemas.openxmlformats.org/spreadsheetml/2006/main" count="39" uniqueCount="13">
  <si>
    <t>Order Status Summary</t>
  </si>
  <si>
    <t>Prepared for Dutch Bros</t>
  </si>
  <si>
    <t>Metric</t>
  </si>
  <si>
    <t>Quantity</t>
  </si>
  <si>
    <t>Category</t>
  </si>
  <si>
    <t>Qty</t>
  </si>
  <si>
    <t>Original Amount</t>
  </si>
  <si>
    <t>Qty Shipped Since Feb</t>
  </si>
  <si>
    <t>Qty in Picked Status</t>
  </si>
  <si>
    <t>Total Shipped / In Process</t>
  </si>
  <si>
    <t>Backlog Qty</t>
  </si>
  <si>
    <t>Remaining Balance</t>
  </si>
  <si>
    <t>Forecasted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</si>
</sst>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rgb="FF1F3864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right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3" fontId="0" fillId="4" borderId="1" xfId="0" applyNumberFormat="1" applyFill="1" applyBorder="1" applyAlignment="1">
      <alignment horizontal="right"/>
    </xf>
    <xf numFmtId="0" fontId="1" fillId="4" borderId="1" xfId="0" applyFont="1" applyFill="1" applyBorder="1"/>
    <xf numFmtId="3" fontId="1" fillId="4" borderId="1" xfId="0" applyNumberFormat="1" applyFont="1" applyFill="1" applyBorder="1" applyAlignment="1">
      <alignment horizontal="right"/>
    </xf>
    <xf numFmtId="0" fontId="1" fillId="3" borderId="1" xfId="0" applyFont="1" applyFill="1" applyBorder="1"/>
    <xf numFmtId="3" fontId="1" fillId="3" borderId="1" xfId="0" applyNumberFormat="1" applyFont="1" applyFill="1" applyBorder="1" applyAlignment="1">
      <alignment horizontal="right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 Status Overview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'08-31-2026'!$E$4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'08-31-2026'!$D$5:$D$8</c:f>
              <c:strCache>
                <c:ptCount val="4"/>
                <c:pt idx="0">
                  <c:v>Original Amount</c:v>
                </c:pt>
                <c:pt idx="1">
                  <c:v>Qty Shipped Since Feb</c:v>
                </c:pt>
                <c:pt idx="2">
                  <c:v>Remaining Balance</c:v>
                </c:pt>
                <c:pt idx="3">
                  <c:v>Forecasted Amount</c:v>
                </c:pt>
              </c:strCache>
            </c:strRef>
          </c:cat>
          <c:val>
            <c:numRef>
              <c:f>'08-31-2026'!$E$5:$E$8</c:f>
              <c:numCache>
                <c:formatCode>General</c:formatCode>
                <c:ptCount val="4"/>
                <c:pt idx="0">
                  <c:v>5700</c:v>
                </c:pt>
                <c:pt idx="1">
                  <c:v>1830</c:v>
                </c:pt>
                <c:pt idx="2">
                  <c:v>3870</c:v>
                </c:pt>
                <c:pt idx="3">
                  <c:v>3700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F4-864B-8D3A-4BF920165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777215"/>
        <c:axId val="798774527"/>
      </c:barChart>
      <c:catAx>
        <c:axId val="79877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74527"/>
        <c:crosses val="autoZero"/>
        <c:auto val="1"/>
        <c:lblAlgn val="ctr"/>
        <c:lblOffset val="100"/>
        <c:noMultiLvlLbl val="0"/>
      </c:catAx>
      <c:valAx>
        <c:axId val="79877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77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 Status Overview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'09-15-2026'!$E$4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'09-15-2026'!$D$5:$D$8</c:f>
              <c:strCache>
                <c:ptCount val="4"/>
                <c:pt idx="0">
                  <c:v>Original Amount</c:v>
                </c:pt>
                <c:pt idx="1">
                  <c:v>Qty Shipped Since Feb</c:v>
                </c:pt>
                <c:pt idx="2">
                  <c:v>Remaining Balance</c:v>
                </c:pt>
                <c:pt idx="3">
                  <c:v>Forecasted Amount</c:v>
                </c:pt>
              </c:strCache>
            </c:strRef>
          </c:cat>
          <c:val>
            <c:numRef>
              <c:f>'09-15-2026'!$E$5:$E$8</c:f>
              <c:numCache>
                <c:formatCode>General</c:formatCode>
                <c:ptCount val="4"/>
                <c:pt idx="0">
                  <c:v>5700</c:v>
                </c:pt>
                <c:pt idx="1">
                  <c:v>1830</c:v>
                </c:pt>
                <c:pt idx="2">
                  <c:v>3770</c:v>
                </c:pt>
                <c:pt idx="3">
                  <c:v>3700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9C-3B4E-BE45-FCF1E2EB7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777215"/>
        <c:axId val="798774527"/>
      </c:barChart>
      <c:catAx>
        <c:axId val="79877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74527"/>
        <c:crosses val="autoZero"/>
        <c:auto val="1"/>
        <c:lblAlgn val="ctr"/>
        <c:lblOffset val="100"/>
        <c:noMultiLvlLbl val="0"/>
      </c:catAx>
      <c:valAx>
        <c:axId val="79877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77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 Status Overview (Qty)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'10-01-2026'!$E$4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'10-01-2026'!$D$5:$D$8</c:f>
              <c:strCache>
                <c:ptCount val="4"/>
                <c:pt idx="0">
                  <c:v>Original Amount</c:v>
                </c:pt>
                <c:pt idx="1">
                  <c:v>Qty Shipped Since Feb</c:v>
                </c:pt>
                <c:pt idx="2">
                  <c:v>Remaining Balance</c:v>
                </c:pt>
                <c:pt idx="3">
                  <c:v>Forecasted Amount</c:v>
                </c:pt>
              </c:strCache>
            </c:strRef>
          </c:cat>
          <c:val>
            <c:numRef>
              <c:f>'10-01-2026'!$E$5:$E$8</c:f>
              <c:numCache>
                <c:formatCode>General</c:formatCode>
                <c:ptCount val="4"/>
                <c:pt idx="0">
                  <c:v>5700</c:v>
                </c:pt>
                <c:pt idx="1">
                  <c:v>1930</c:v>
                </c:pt>
                <c:pt idx="2">
                  <c:v>3650</c:v>
                </c:pt>
                <c:pt idx="3">
                  <c:v>3700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9-4DAF-9453-6934A733A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777215"/>
        <c:axId val="798774527"/>
      </c:barChart>
      <c:catAx>
        <c:axId val="79877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74527"/>
        <c:crosses val="autoZero"/>
        <c:auto val="1"/>
        <c:lblAlgn val="ctr"/>
        <c:lblOffset val="100"/>
        <c:noMultiLvlLbl val="0"/>
      </c:catAx>
      <c:valAx>
        <c:axId val="79877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77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11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2968D7-C8E0-6D3F-EE95-72EF8C1DD8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11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0D4FA7-55C5-DE4B-BA1C-7F022E28FC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11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C7AEE2-5DE4-4170-BE14-987DAA4E8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FAD9616-C013-0C4B-BFF9-9C0EB0497927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e4c67968-c1ba-47f8-be60-831f6ed994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85EF6-15FF-D94F-B2C7-B6F64DB24A62}">
  <dimension ref="A1:E11"/>
  <sheetViews>
    <sheetView zoomScale="80" zoomScaleNormal="80" workbookViewId="0">
      <selection activeCell="B28" sqref="B28"/>
    </sheetView>
  </sheetViews>
  <sheetFormatPr defaultColWidth="11" defaultRowHeight="16" x14ac:dyDescent="0.4"/>
  <cols>
    <col min="1" max="1" width="31.58203125" customWidth="1"/>
    <col min="2" max="2" width="16.58203125" customWidth="1"/>
    <col min="4" max="4" width="15.5" customWidth="1"/>
  </cols>
  <sheetData>
    <row r="1" spans="1:5" ht="21" x14ac:dyDescent="0.5">
      <c r="A1" s="11" t="s">
        <v>0</v>
      </c>
      <c r="B1" s="11"/>
    </row>
    <row r="2" spans="1:5" x14ac:dyDescent="0.4">
      <c r="A2" s="12" t="s">
        <v>1</v>
      </c>
      <c r="B2" s="12"/>
    </row>
    <row r="4" spans="1:5" x14ac:dyDescent="0.4">
      <c r="A4" s="1" t="s">
        <v>2</v>
      </c>
      <c r="B4" s="2" t="s">
        <v>3</v>
      </c>
      <c r="D4" t="s">
        <v>4</v>
      </c>
      <c r="E4" t="s">
        <v>5</v>
      </c>
    </row>
    <row r="5" spans="1:5" x14ac:dyDescent="0.4">
      <c r="A5" s="3" t="s">
        <v>6</v>
      </c>
      <c r="B5" s="4">
        <v>5700</v>
      </c>
      <c r="D5" t="str">
        <f>A5</f>
        <v>Original Amount</v>
      </c>
      <c r="E5">
        <f>B5</f>
        <v>5700</v>
      </c>
    </row>
    <row r="6" spans="1:5" x14ac:dyDescent="0.4">
      <c r="A6" s="5" t="s">
        <v>7</v>
      </c>
      <c r="B6" s="6">
        <v>1830</v>
      </c>
      <c r="D6" t="str">
        <f>A6</f>
        <v>Qty Shipped Since Feb</v>
      </c>
      <c r="E6">
        <f>B6</f>
        <v>1830</v>
      </c>
    </row>
    <row r="7" spans="1:5" x14ac:dyDescent="0.4">
      <c r="A7" s="3" t="s">
        <v>8</v>
      </c>
      <c r="B7" s="4">
        <v>0</v>
      </c>
      <c r="D7" t="str">
        <f>A10</f>
        <v>Remaining Balance</v>
      </c>
      <c r="E7">
        <f>B10</f>
        <v>3870</v>
      </c>
    </row>
    <row r="8" spans="1:5" x14ac:dyDescent="0.4">
      <c r="A8" s="7" t="s">
        <v>9</v>
      </c>
      <c r="B8" s="8">
        <f>B6+B7</f>
        <v>1830</v>
      </c>
      <c r="D8" t="str">
        <f>A11</f>
        <v>Forecasted Amount</v>
      </c>
      <c r="E8">
        <f>B11</f>
        <v>3700</v>
      </c>
    </row>
    <row r="9" spans="1:5" x14ac:dyDescent="0.4">
      <c r="A9" s="3" t="s">
        <v>10</v>
      </c>
      <c r="B9" s="4">
        <v>0</v>
      </c>
    </row>
    <row r="10" spans="1:5" x14ac:dyDescent="0.4">
      <c r="A10" s="7" t="s">
        <v>11</v>
      </c>
      <c r="B10" s="8">
        <f>B5-B8</f>
        <v>3870</v>
      </c>
    </row>
    <row r="11" spans="1:5" x14ac:dyDescent="0.4">
      <c r="A11" s="9" t="s">
        <v>12</v>
      </c>
      <c r="B11" s="10">
        <v>3700</v>
      </c>
    </row>
  </sheetData>
  <mergeCells count="2">
    <mergeCell ref="A1:B1"/>
    <mergeCell ref="A2:B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7B49-7580-7744-8F8B-FEA15A7EE039}">
  <dimension ref="A1:E11"/>
  <sheetViews>
    <sheetView zoomScale="70" zoomScaleNormal="70" workbookViewId="0">
      <selection activeCell="B26" sqref="B26"/>
    </sheetView>
  </sheetViews>
  <sheetFormatPr defaultColWidth="11" defaultRowHeight="16" x14ac:dyDescent="0.4"/>
  <cols>
    <col min="1" max="1" width="31.58203125" customWidth="1"/>
    <col min="2" max="2" width="16.58203125" customWidth="1"/>
    <col min="4" max="4" width="14.83203125" customWidth="1"/>
  </cols>
  <sheetData>
    <row r="1" spans="1:5" ht="21" x14ac:dyDescent="0.5">
      <c r="A1" s="11" t="s">
        <v>0</v>
      </c>
      <c r="B1" s="11"/>
    </row>
    <row r="2" spans="1:5" x14ac:dyDescent="0.4">
      <c r="A2" s="12" t="s">
        <v>1</v>
      </c>
      <c r="B2" s="12"/>
    </row>
    <row r="4" spans="1:5" x14ac:dyDescent="0.4">
      <c r="A4" s="1" t="s">
        <v>2</v>
      </c>
      <c r="B4" s="2" t="s">
        <v>3</v>
      </c>
      <c r="D4" t="s">
        <v>4</v>
      </c>
      <c r="E4" t="s">
        <v>5</v>
      </c>
    </row>
    <row r="5" spans="1:5" x14ac:dyDescent="0.4">
      <c r="A5" s="3" t="s">
        <v>6</v>
      </c>
      <c r="B5" s="4">
        <v>5700</v>
      </c>
      <c r="D5" t="str">
        <f>A5</f>
        <v>Original Amount</v>
      </c>
      <c r="E5">
        <f>B5</f>
        <v>5700</v>
      </c>
    </row>
    <row r="6" spans="1:5" x14ac:dyDescent="0.4">
      <c r="A6" s="5" t="s">
        <v>7</v>
      </c>
      <c r="B6" s="6">
        <v>1830</v>
      </c>
      <c r="D6" t="str">
        <f>A6</f>
        <v>Qty Shipped Since Feb</v>
      </c>
      <c r="E6">
        <f>B6</f>
        <v>1830</v>
      </c>
    </row>
    <row r="7" spans="1:5" x14ac:dyDescent="0.4">
      <c r="A7" s="3" t="s">
        <v>8</v>
      </c>
      <c r="B7" s="4">
        <v>100</v>
      </c>
      <c r="D7" t="str">
        <f>A10</f>
        <v>Remaining Balance</v>
      </c>
      <c r="E7">
        <f>B10</f>
        <v>3770</v>
      </c>
    </row>
    <row r="8" spans="1:5" x14ac:dyDescent="0.4">
      <c r="A8" s="7" t="s">
        <v>9</v>
      </c>
      <c r="B8" s="8">
        <f>B6+B7</f>
        <v>1930</v>
      </c>
      <c r="D8" t="str">
        <f>A11</f>
        <v>Forecasted Amount</v>
      </c>
      <c r="E8">
        <f>B11</f>
        <v>3700</v>
      </c>
    </row>
    <row r="9" spans="1:5" x14ac:dyDescent="0.4">
      <c r="A9" s="3" t="s">
        <v>10</v>
      </c>
      <c r="B9" s="4">
        <v>0</v>
      </c>
    </row>
    <row r="10" spans="1:5" x14ac:dyDescent="0.4">
      <c r="A10" s="7" t="s">
        <v>11</v>
      </c>
      <c r="B10" s="8">
        <f>B5-B8</f>
        <v>3770</v>
      </c>
    </row>
    <row r="11" spans="1:5" x14ac:dyDescent="0.4">
      <c r="A11" s="9" t="s">
        <v>12</v>
      </c>
      <c r="B11" s="10">
        <v>3700</v>
      </c>
    </row>
  </sheetData>
  <mergeCells count="2">
    <mergeCell ref="A1:B1"/>
    <mergeCell ref="A2:B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BC17C-054E-4FFD-9C1D-8972A442FD2F}">
  <dimension ref="A1:E11"/>
  <sheetViews>
    <sheetView tabSelected="1" zoomScale="70" zoomScaleNormal="70" workbookViewId="0">
      <selection activeCell="H3" sqref="H3"/>
    </sheetView>
  </sheetViews>
  <sheetFormatPr defaultColWidth="11" defaultRowHeight="16" x14ac:dyDescent="0.4"/>
  <cols>
    <col min="1" max="1" width="31.58203125" customWidth="1"/>
    <col min="2" max="2" width="16.58203125" customWidth="1"/>
    <col min="4" max="4" width="18.5" bestFit="1" customWidth="1"/>
  </cols>
  <sheetData>
    <row r="1" spans="1:5" ht="21" x14ac:dyDescent="0.5">
      <c r="A1" s="11" t="s">
        <v>0</v>
      </c>
      <c r="B1" s="11"/>
    </row>
    <row r="2" spans="1:5" x14ac:dyDescent="0.4">
      <c r="A2" s="12" t="s">
        <v>1</v>
      </c>
      <c r="B2" s="12"/>
    </row>
    <row r="4" spans="1:5" x14ac:dyDescent="0.4">
      <c r="A4" s="1" t="s">
        <v>2</v>
      </c>
      <c r="B4" s="2" t="s">
        <v>3</v>
      </c>
      <c r="D4" t="s">
        <v>4</v>
      </c>
      <c r="E4" t="s">
        <v>5</v>
      </c>
    </row>
    <row r="5" spans="1:5" x14ac:dyDescent="0.4">
      <c r="A5" s="3" t="s">
        <v>6</v>
      </c>
      <c r="B5" s="4">
        <v>5700</v>
      </c>
      <c r="D5" t="str">
        <f>A5</f>
        <v>Original Amount</v>
      </c>
      <c r="E5">
        <f>B5</f>
        <v>5700</v>
      </c>
    </row>
    <row r="6" spans="1:5" x14ac:dyDescent="0.4">
      <c r="A6" s="5" t="s">
        <v>7</v>
      </c>
      <c r="B6" s="6">
        <v>1930</v>
      </c>
      <c r="D6" t="str">
        <f>A6</f>
        <v>Qty Shipped Since Feb</v>
      </c>
      <c r="E6">
        <f>B6</f>
        <v>1930</v>
      </c>
    </row>
    <row r="7" spans="1:5" x14ac:dyDescent="0.4">
      <c r="A7" s="3" t="s">
        <v>8</v>
      </c>
      <c r="B7" s="4">
        <v>120</v>
      </c>
      <c r="D7" t="str">
        <f>A10</f>
        <v>Remaining Balance</v>
      </c>
      <c r="E7">
        <f>B10</f>
        <v>3650</v>
      </c>
    </row>
    <row r="8" spans="1:5" x14ac:dyDescent="0.4">
      <c r="A8" s="7" t="s">
        <v>9</v>
      </c>
      <c r="B8" s="8">
        <f>B6+B7</f>
        <v>2050</v>
      </c>
      <c r="D8" t="str">
        <f>A11</f>
        <v>Forecasted Amount</v>
      </c>
      <c r="E8">
        <f>B11</f>
        <v>3700</v>
      </c>
    </row>
    <row r="9" spans="1:5" x14ac:dyDescent="0.4">
      <c r="A9" s="3" t="s">
        <v>10</v>
      </c>
      <c r="B9" s="4">
        <v>0</v>
      </c>
    </row>
    <row r="10" spans="1:5" x14ac:dyDescent="0.4">
      <c r="A10" s="7" t="s">
        <v>11</v>
      </c>
      <c r="B10" s="8">
        <f>B5-B8</f>
        <v>3650</v>
      </c>
    </row>
    <row r="11" spans="1:5" x14ac:dyDescent="0.4">
      <c r="A11" s="9" t="s">
        <v>12</v>
      </c>
      <c r="B11" s="10">
        <v>3700</v>
      </c>
    </row>
  </sheetData>
  <mergeCells count="2">
    <mergeCell ref="A1:B1"/>
    <mergeCell ref="A2:B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611a22d6-8c40-4958-84e3-ce47d8205d98}" enabled="0" method="" siteId="{611a22d6-8c40-4958-84e3-ce47d8205d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08-31-2026</vt:lpstr>
      <vt:lpstr>09-15-2026</vt:lpstr>
      <vt:lpstr>10-01-2026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Kimlie Warlick</dc:creator>
  <cp:keywords/>
  <dc:description/>
  <cp:lastModifiedBy>Patrick Hanks</cp:lastModifiedBy>
  <cp:revision/>
  <dcterms:created xsi:type="dcterms:W3CDTF">2026-08-31T17:58:06Z</dcterms:created>
  <dcterms:modified xsi:type="dcterms:W3CDTF">2026-10-01T13:28:57Z</dcterms:modified>
  <cp:category/>
  <cp:contentStatus/>
</cp:coreProperties>
</file>