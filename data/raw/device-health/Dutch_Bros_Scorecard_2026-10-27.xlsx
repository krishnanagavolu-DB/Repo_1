
<file path=[Content_Types].xml><?xml version="1.0" encoding="utf-8"?>
<Types xmlns="http://schemas.openxmlformats.org/package/2006/content-type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externalLinks/externalLink1.xml" ContentType="application/vnd.openxmlformats-officedocument.spreadsheetml.externalLink+xml"/>
  <Override PartName="/xl/externalLinks/externalLink2.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drawings/drawing2.xml" ContentType="application/vnd.openxmlformats-officedocument.drawing+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drawings/drawing3.xml" ContentType="application/vnd.openxmlformats-officedocument.drawing+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drawings/drawing4.xml" ContentType="application/vnd.openxmlformats-officedocument.drawing+xml"/>
  <Override PartName="/xl/charts/chart6.xml" ContentType="application/vnd.openxmlformats-officedocument.drawingml.chart+xml"/>
  <Override PartName="/xl/charts/style6.xml" ContentType="application/vnd.ms-office.chartstyle+xml"/>
  <Override PartName="/xl/charts/colors6.xml" ContentType="application/vnd.ms-office.chartcolorstyle+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Metadata/LabelInfo.xml" ContentType="application/vnd.ms-office.classificationlabel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package/2006/relationships/metadata/core-properties" Target="docProps/core.xml"/><Relationship Id="rId2" Type="http://schemas.microsoft.com/office/2020/02/relationships/classificationlabels" Target="docMetadata/LabelInfo.xml"/><Relationship Id="rId1" Type="http://schemas.openxmlformats.org/officeDocument/2006/relationships/officeDocument" Target="xl/workbook.xml"/><Relationship Id="rId5" Type="http://schemas.openxmlformats.org/officeDocument/2006/relationships/custom-properties" Target="docProps/custom.xml"/><Relationship Id="rId4"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430"/>
  <workbookPr defaultThemeVersion="166925"/>
  <mc:AlternateContent xmlns:mc="http://schemas.openxmlformats.org/markup-compatibility/2006">
    <mc:Choice Requires="x15">
      <x15ac:absPath xmlns:x15ac="http://schemas.microsoft.com/office/spreadsheetml/2010/11/ac" url="C:\Users\Ken.Chambless\STRATIX CORPORATION\Customer Success - Dutch Bros\Weekly Scorecard\"/>
    </mc:Choice>
  </mc:AlternateContent>
  <xr:revisionPtr revIDLastSave="0" documentId="13_ncr:1_{82B244E5-F706-40BF-AE77-165C87FE04A5}" xr6:coauthVersionLast="47" xr6:coauthVersionMax="47" xr10:uidLastSave="{00000000-0000-0000-0000-000000000000}"/>
  <bookViews>
    <workbookView xWindow="23929" yWindow="-113" windowWidth="24267" windowHeight="13023" activeTab="1" xr2:uid="{D48E817E-19E2-45F0-91E3-381A05C9C3B7}"/>
  </bookViews>
  <sheets>
    <sheet name="Scorecard" sheetId="1" r:id="rId1"/>
    <sheet name="Overages" sheetId="7" r:id="rId2"/>
    <sheet name="4. ir_MOC_" sheetId="2" state="hidden" r:id="rId3"/>
    <sheet name="4. ir_LCM" sheetId="9" state="hidden" r:id="rId4"/>
    <sheet name="Install Base" sheetId="11" r:id="rId5"/>
    <sheet name="OEM Replacments" sheetId="12" r:id="rId6"/>
    <sheet name="MOC Data" sheetId="5" state="hidden" r:id="rId7"/>
    <sheet name="LCM_Data" sheetId="10" state="hidden" r:id="rId8"/>
    <sheet name="4. ir_LCM_2024- old" sheetId="3" state="hidden" r:id="rId9"/>
  </sheets>
  <externalReferences>
    <externalReference r:id="rId10"/>
    <externalReference r:id="rId11"/>
  </externalReferences>
  <definedNames>
    <definedName name="_xlnm._FilterDatabase" localSheetId="7" hidden="1">LCM_Data!$A$1:$T$311</definedName>
    <definedName name="_xlnm._FilterDatabase" localSheetId="6" hidden="1">'MOC Data'!$A$1:$P$1082</definedName>
    <definedName name="Actual">#REF!</definedName>
    <definedName name="ARAging">#REF!</definedName>
    <definedName name="ARAging_Health">#REF!</definedName>
    <definedName name="DaysToRenewal">#REF!</definedName>
    <definedName name="DaysToRenewalResults">#REF!</definedName>
    <definedName name="LastInteraction">#REF!</definedName>
    <definedName name="LastInteractionResult">#REF!</definedName>
    <definedName name="LastVisit">#REF!</definedName>
    <definedName name="LastVisitResult">#REF!</definedName>
    <definedName name="LCM_Incident_Rate">#REF!</definedName>
    <definedName name="LCM_Incident_RateWeight">#REF!</definedName>
    <definedName name="LCM_SLA">#REF!</definedName>
    <definedName name="LCM_SLA_Score">#REF!</definedName>
    <definedName name="MOC_ASA">#REF!</definedName>
    <definedName name="MOC_ASA_Result">#REF!</definedName>
    <definedName name="MOC_FCR">#REF!</definedName>
    <definedName name="MOC_FCR_Results">#REF!</definedName>
    <definedName name="MOC_IncidentRate">#REF!</definedName>
    <definedName name="MOC_IncidentRate_Results">#REF!</definedName>
    <definedName name="MRR">#REF!</definedName>
    <definedName name="MRRResults">#REF!</definedName>
    <definedName name="NPS_Actual">#REF!</definedName>
    <definedName name="NPS_Score">#REF!</definedName>
    <definedName name="OpenIssue">#REF!</definedName>
    <definedName name="OpenIssueResult">#REF!</definedName>
    <definedName name="QBR_Last">#REF!</definedName>
    <definedName name="QBR_Score">#REF!</definedName>
    <definedName name="Score">#REF!</definedName>
    <definedName name="Solutions" localSheetId="3">[1]!Table4[Solution]</definedName>
    <definedName name="Solutions" localSheetId="8">[1]!Table4[Solution]</definedName>
    <definedName name="Solutions">[1]!Table4[Solution]</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B20" i="11" l="1"/>
  <c r="B15" i="11"/>
  <c r="B16" i="11" s="1"/>
  <c r="B17" i="11" s="1"/>
  <c r="B18" i="11" s="1"/>
  <c r="B19" i="11" s="1"/>
  <c r="B22" i="11" s="1"/>
  <c r="B23" i="11" s="1"/>
  <c r="B24" i="11" s="1"/>
  <c r="B25" i="11" s="1"/>
  <c r="B26" i="11" s="1"/>
  <c r="B10" i="11"/>
  <c r="B11" i="11" s="1"/>
  <c r="B12" i="11" s="1"/>
  <c r="B13" i="11" s="1"/>
  <c r="B35" i="9"/>
  <c r="F76" i="7"/>
  <c r="C30" i="2"/>
  <c r="K29" i="2"/>
  <c r="J29" i="2"/>
  <c r="C72" i="7"/>
  <c r="C70" i="7"/>
  <c r="C27" i="2"/>
  <c r="F27" i="2"/>
  <c r="G27" i="2"/>
  <c r="C28" i="2"/>
  <c r="F28" i="2"/>
  <c r="G28" i="2"/>
  <c r="C29" i="2"/>
  <c r="F29" i="2"/>
  <c r="I29" i="2" s="1"/>
  <c r="G29" i="2"/>
  <c r="F30" i="2"/>
  <c r="I30" i="2" s="1"/>
  <c r="G30" i="2"/>
  <c r="C31" i="2"/>
  <c r="F31" i="2"/>
  <c r="G31" i="2"/>
  <c r="C32" i="2"/>
  <c r="F32" i="2"/>
  <c r="I32" i="2" s="1"/>
  <c r="G32" i="2"/>
  <c r="C33" i="2"/>
  <c r="F33" i="2"/>
  <c r="G33" i="2"/>
  <c r="C34" i="2"/>
  <c r="F34" i="2"/>
  <c r="G34" i="2"/>
  <c r="C35" i="2"/>
  <c r="F35" i="2"/>
  <c r="G35" i="2"/>
  <c r="C36" i="2"/>
  <c r="F36" i="2"/>
  <c r="G36" i="2"/>
  <c r="C37" i="2"/>
  <c r="J37" i="2" s="1"/>
  <c r="F37" i="2"/>
  <c r="G37" i="2"/>
  <c r="C38" i="2"/>
  <c r="F38" i="2"/>
  <c r="G38" i="2"/>
  <c r="B27" i="2"/>
  <c r="B28" i="2"/>
  <c r="B29" i="2"/>
  <c r="B30" i="2"/>
  <c r="B31" i="2"/>
  <c r="B32" i="2"/>
  <c r="B33" i="2"/>
  <c r="B34" i="2"/>
  <c r="B35" i="2"/>
  <c r="B36" i="2"/>
  <c r="B37" i="2"/>
  <c r="B38" i="2"/>
  <c r="K71" i="7"/>
  <c r="K72" i="7"/>
  <c r="K73" i="7"/>
  <c r="K74" i="7"/>
  <c r="K75" i="7"/>
  <c r="K76" i="7"/>
  <c r="K77" i="7"/>
  <c r="K78" i="7"/>
  <c r="K79" i="7"/>
  <c r="K80" i="7"/>
  <c r="K81" i="7"/>
  <c r="K82" i="7"/>
  <c r="D71" i="7"/>
  <c r="G72" i="7"/>
  <c r="L72" i="7" s="1"/>
  <c r="D72" i="7"/>
  <c r="C73" i="7"/>
  <c r="B29" i="9" s="1"/>
  <c r="D73" i="7"/>
  <c r="G73" i="7"/>
  <c r="L73" i="7" s="1"/>
  <c r="C74" i="7"/>
  <c r="D74" i="7" s="1"/>
  <c r="C75" i="7"/>
  <c r="D75" i="7" s="1"/>
  <c r="B32" i="9"/>
  <c r="D76" i="7"/>
  <c r="E76" i="7"/>
  <c r="C77" i="7"/>
  <c r="E77" i="7" s="1"/>
  <c r="D77" i="7"/>
  <c r="C78" i="7"/>
  <c r="E78" i="7" s="1"/>
  <c r="F78" i="7" s="1"/>
  <c r="G78" i="7" s="1"/>
  <c r="L78" i="7" s="1"/>
  <c r="B36" i="9"/>
  <c r="D80" i="7"/>
  <c r="C81" i="7"/>
  <c r="B37" i="9" s="1"/>
  <c r="C82" i="7"/>
  <c r="D82" i="7" s="1"/>
  <c r="Q28" i="7"/>
  <c r="Q29" i="7"/>
  <c r="Q30" i="7"/>
  <c r="Q31" i="7"/>
  <c r="Q32" i="7"/>
  <c r="Q33" i="7"/>
  <c r="Q34" i="7"/>
  <c r="Q35" i="7"/>
  <c r="Q36" i="7"/>
  <c r="Q37" i="7"/>
  <c r="Q38" i="7"/>
  <c r="Q39" i="7"/>
  <c r="L28" i="7"/>
  <c r="M28" i="7"/>
  <c r="N28" i="7" s="1"/>
  <c r="L29" i="7"/>
  <c r="M29" i="7"/>
  <c r="N29" i="7" s="1"/>
  <c r="L30" i="7"/>
  <c r="M30" i="7"/>
  <c r="N30" i="7"/>
  <c r="L31" i="7"/>
  <c r="M31" i="7"/>
  <c r="N31" i="7" s="1"/>
  <c r="L32" i="7"/>
  <c r="M32" i="7"/>
  <c r="N32" i="7" s="1"/>
  <c r="L33" i="7"/>
  <c r="M33" i="7"/>
  <c r="N33" i="7" s="1"/>
  <c r="L34" i="7"/>
  <c r="M34" i="7"/>
  <c r="N34" i="7" s="1"/>
  <c r="L35" i="7"/>
  <c r="M35" i="7"/>
  <c r="N35" i="7" s="1"/>
  <c r="L36" i="7"/>
  <c r="M36" i="7"/>
  <c r="N36" i="7" s="1"/>
  <c r="L37" i="7"/>
  <c r="M37" i="7"/>
  <c r="N37" i="7" s="1"/>
  <c r="L38" i="7"/>
  <c r="M38" i="7"/>
  <c r="N38" i="7"/>
  <c r="L39" i="7"/>
  <c r="M39" i="7"/>
  <c r="N39" i="7"/>
  <c r="D28" i="7"/>
  <c r="E28" i="7"/>
  <c r="F28" i="7" s="1"/>
  <c r="D29" i="7"/>
  <c r="E29" i="7"/>
  <c r="P29" i="7" s="1"/>
  <c r="D30" i="7"/>
  <c r="E30" i="7"/>
  <c r="F30" i="7" s="1"/>
  <c r="D31" i="7"/>
  <c r="E31" i="7"/>
  <c r="F31" i="7" s="1"/>
  <c r="D32" i="7"/>
  <c r="E32" i="7"/>
  <c r="F32" i="7"/>
  <c r="D33" i="7"/>
  <c r="E33" i="7"/>
  <c r="F33" i="7" s="1"/>
  <c r="D34" i="7"/>
  <c r="E34" i="7"/>
  <c r="F34" i="7" s="1"/>
  <c r="D35" i="7"/>
  <c r="E35" i="7"/>
  <c r="F35" i="7" s="1"/>
  <c r="D36" i="7"/>
  <c r="E36" i="7"/>
  <c r="F36" i="7" s="1"/>
  <c r="D37" i="7"/>
  <c r="E37" i="7"/>
  <c r="D38" i="7"/>
  <c r="E38" i="7"/>
  <c r="F38" i="7" s="1"/>
  <c r="D39" i="7"/>
  <c r="E39" i="7"/>
  <c r="F39" i="7" s="1"/>
  <c r="C27" i="9"/>
  <c r="C28" i="9"/>
  <c r="C29" i="9"/>
  <c r="C30" i="9"/>
  <c r="C31" i="9"/>
  <c r="C32" i="9"/>
  <c r="C33" i="9"/>
  <c r="C34" i="9"/>
  <c r="C35" i="9"/>
  <c r="C36" i="9"/>
  <c r="C37" i="9"/>
  <c r="C38" i="9"/>
  <c r="B25" i="9"/>
  <c r="L25" i="7"/>
  <c r="L26" i="7"/>
  <c r="Q26" i="7"/>
  <c r="B24" i="9"/>
  <c r="F25" i="2"/>
  <c r="F24" i="2"/>
  <c r="Q25" i="7"/>
  <c r="E65" i="7"/>
  <c r="I35" i="2" l="1"/>
  <c r="D35" i="2"/>
  <c r="E35" i="2" s="1"/>
  <c r="L35" i="2" s="1"/>
  <c r="J35" i="2"/>
  <c r="D79" i="7"/>
  <c r="I34" i="2"/>
  <c r="D78" i="7"/>
  <c r="I33" i="2"/>
  <c r="F77" i="7"/>
  <c r="G77" i="7" s="1"/>
  <c r="L77" i="7" s="1"/>
  <c r="G76" i="7"/>
  <c r="L76" i="7" s="1"/>
  <c r="J32" i="2"/>
  <c r="I36" i="2"/>
  <c r="P35" i="7"/>
  <c r="S35" i="7" s="1"/>
  <c r="J78" i="7" s="1"/>
  <c r="M78" i="7" s="1"/>
  <c r="P37" i="7"/>
  <c r="R37" i="7" s="1"/>
  <c r="S37" i="7" s="1"/>
  <c r="J80" i="7" s="1"/>
  <c r="K32" i="2"/>
  <c r="E81" i="7"/>
  <c r="F81" i="7" s="1"/>
  <c r="G81" i="7" s="1"/>
  <c r="L81" i="7" s="1"/>
  <c r="D81" i="7"/>
  <c r="I38" i="2"/>
  <c r="I37" i="2"/>
  <c r="I31" i="2"/>
  <c r="J31" i="2"/>
  <c r="J30" i="2"/>
  <c r="K30" i="2"/>
  <c r="D31" i="2"/>
  <c r="E31" i="2" s="1"/>
  <c r="L31" i="2" s="1"/>
  <c r="P32" i="7"/>
  <c r="R32" i="7" s="1"/>
  <c r="S32" i="7" s="1"/>
  <c r="J75" i="7" s="1"/>
  <c r="F29" i="7"/>
  <c r="I28" i="2"/>
  <c r="S29" i="7"/>
  <c r="J72" i="7" s="1"/>
  <c r="M72" i="7" s="1"/>
  <c r="J28" i="2"/>
  <c r="P28" i="7"/>
  <c r="R28" i="7" s="1"/>
  <c r="S28" i="7" s="1"/>
  <c r="J71" i="7" s="1"/>
  <c r="B34" i="9"/>
  <c r="P39" i="7"/>
  <c r="R39" i="7" s="1"/>
  <c r="S39" i="7" s="1"/>
  <c r="J82" i="7" s="1"/>
  <c r="P36" i="7"/>
  <c r="R36" i="7" s="1"/>
  <c r="S36" i="7" s="1"/>
  <c r="J79" i="7" s="1"/>
  <c r="D36" i="2"/>
  <c r="E36" i="2" s="1"/>
  <c r="L36" i="2" s="1"/>
  <c r="J34" i="2"/>
  <c r="K37" i="2"/>
  <c r="K36" i="2"/>
  <c r="J38" i="2"/>
  <c r="F37" i="7"/>
  <c r="J33" i="2"/>
  <c r="B27" i="9"/>
  <c r="D29" i="2"/>
  <c r="K38" i="2"/>
  <c r="B28" i="9"/>
  <c r="D37" i="2"/>
  <c r="E37" i="2" s="1"/>
  <c r="L37" i="2" s="1"/>
  <c r="D28" i="2"/>
  <c r="E28" i="2" s="1"/>
  <c r="L28" i="2" s="1"/>
  <c r="K28" i="2"/>
  <c r="P33" i="7"/>
  <c r="S33" i="7" s="1"/>
  <c r="J76" i="7" s="1"/>
  <c r="E75" i="7"/>
  <c r="G75" i="7" s="1"/>
  <c r="L75" i="7" s="1"/>
  <c r="K34" i="2"/>
  <c r="J36" i="2"/>
  <c r="K31" i="2"/>
  <c r="P38" i="7"/>
  <c r="R38" i="7" s="1"/>
  <c r="S38" i="7" s="1"/>
  <c r="J81" i="7" s="1"/>
  <c r="P30" i="7"/>
  <c r="R30" i="7" s="1"/>
  <c r="S30" i="7" s="1"/>
  <c r="J73" i="7" s="1"/>
  <c r="M73" i="7" s="1"/>
  <c r="D34" i="2"/>
  <c r="E34" i="2" s="1"/>
  <c r="L34" i="2" s="1"/>
  <c r="B31" i="9"/>
  <c r="E31" i="9" s="1"/>
  <c r="E80" i="7"/>
  <c r="F80" i="7" s="1"/>
  <c r="G80" i="7" s="1"/>
  <c r="L80" i="7" s="1"/>
  <c r="E29" i="2"/>
  <c r="L29" i="2" s="1"/>
  <c r="D33" i="2"/>
  <c r="E33" i="2" s="1"/>
  <c r="L33" i="2" s="1"/>
  <c r="K35" i="2"/>
  <c r="K33" i="2"/>
  <c r="D27" i="2"/>
  <c r="E27" i="2" s="1"/>
  <c r="L27" i="2" s="1"/>
  <c r="P34" i="7"/>
  <c r="R34" i="7" s="1"/>
  <c r="S34" i="7" s="1"/>
  <c r="J77" i="7" s="1"/>
  <c r="D38" i="2"/>
  <c r="E38" i="2" s="1"/>
  <c r="L38" i="2" s="1"/>
  <c r="D32" i="2"/>
  <c r="E32" i="2" s="1"/>
  <c r="L32" i="2" s="1"/>
  <c r="S31" i="7"/>
  <c r="J74" i="7" s="1"/>
  <c r="D30" i="2"/>
  <c r="E30" i="2" s="1"/>
  <c r="L30" i="2" s="1"/>
  <c r="E36" i="9"/>
  <c r="B38" i="9"/>
  <c r="E38" i="9" s="1"/>
  <c r="E34" i="9"/>
  <c r="B30" i="9"/>
  <c r="E30" i="9" s="1"/>
  <c r="E79" i="7"/>
  <c r="F79" i="7" s="1"/>
  <c r="G79" i="7" s="1"/>
  <c r="L79" i="7" s="1"/>
  <c r="E71" i="7"/>
  <c r="G71" i="7" s="1"/>
  <c r="L71" i="7" s="1"/>
  <c r="B33" i="9"/>
  <c r="E33" i="9" s="1"/>
  <c r="E82" i="7"/>
  <c r="F82" i="7" s="1"/>
  <c r="G82" i="7" s="1"/>
  <c r="L82" i="7" s="1"/>
  <c r="E74" i="7"/>
  <c r="G74" i="7" s="1"/>
  <c r="L74" i="7" s="1"/>
  <c r="E37" i="9"/>
  <c r="E32" i="9"/>
  <c r="E29" i="9"/>
  <c r="E28" i="9"/>
  <c r="J27" i="2"/>
  <c r="K27" i="2"/>
  <c r="E35" i="9"/>
  <c r="I27" i="2"/>
  <c r="E27" i="9"/>
  <c r="B20" i="9"/>
  <c r="M80" i="7" l="1"/>
  <c r="M77" i="7"/>
  <c r="M76" i="7"/>
  <c r="M82" i="7"/>
  <c r="M81" i="7"/>
  <c r="M75" i="7"/>
  <c r="M74" i="7"/>
  <c r="M71" i="7"/>
  <c r="M79" i="7"/>
  <c r="B20" i="2"/>
  <c r="C20" i="2"/>
  <c r="C20" i="9"/>
  <c r="C24" i="9"/>
  <c r="E24" i="9" s="1"/>
  <c r="C25" i="9"/>
  <c r="E25" i="9" s="1"/>
  <c r="B26" i="9"/>
  <c r="C26" i="9"/>
  <c r="B21" i="9"/>
  <c r="B22" i="9"/>
  <c r="B23" i="9"/>
  <c r="B19" i="9"/>
  <c r="C19" i="9"/>
  <c r="C21" i="2"/>
  <c r="C23" i="2"/>
  <c r="C24" i="2"/>
  <c r="C25" i="2"/>
  <c r="C26" i="2"/>
  <c r="C19" i="2"/>
  <c r="B21" i="2"/>
  <c r="B22" i="2"/>
  <c r="B23" i="2"/>
  <c r="B24" i="2"/>
  <c r="B25" i="2"/>
  <c r="I25" i="2" s="1"/>
  <c r="B26" i="2"/>
  <c r="F20" i="2"/>
  <c r="F21" i="2"/>
  <c r="F22" i="2"/>
  <c r="F23" i="2"/>
  <c r="F26" i="2"/>
  <c r="G20" i="2"/>
  <c r="G21" i="2"/>
  <c r="G22" i="2"/>
  <c r="G23" i="2"/>
  <c r="G24" i="2"/>
  <c r="G25" i="2"/>
  <c r="G26" i="2"/>
  <c r="F19" i="2"/>
  <c r="I19" i="2" s="1"/>
  <c r="G19" i="2"/>
  <c r="Q27" i="7"/>
  <c r="M25" i="7"/>
  <c r="N25" i="7" s="1"/>
  <c r="M26" i="7"/>
  <c r="N26" i="7" s="1"/>
  <c r="L27" i="7"/>
  <c r="M27" i="7"/>
  <c r="N27" i="7" s="1"/>
  <c r="D25" i="7"/>
  <c r="E25" i="7"/>
  <c r="F25" i="7" s="1"/>
  <c r="D26" i="7"/>
  <c r="E26" i="7"/>
  <c r="F26" i="7" s="1"/>
  <c r="D27" i="7"/>
  <c r="E27" i="7"/>
  <c r="F27" i="7" s="1"/>
  <c r="K68" i="7"/>
  <c r="K69" i="7"/>
  <c r="K70" i="7"/>
  <c r="E68" i="7"/>
  <c r="G68" i="7" s="1"/>
  <c r="L68" i="7" s="1"/>
  <c r="E69" i="7"/>
  <c r="G69" i="7" s="1"/>
  <c r="L69" i="7" s="1"/>
  <c r="E70" i="7"/>
  <c r="F70" i="7" s="1"/>
  <c r="G70" i="7" s="1"/>
  <c r="L70" i="7" s="1"/>
  <c r="D68" i="7"/>
  <c r="D69" i="7"/>
  <c r="D70" i="7"/>
  <c r="C18" i="9"/>
  <c r="K26" i="2" l="1"/>
  <c r="J23" i="2"/>
  <c r="J26" i="2"/>
  <c r="J25" i="2"/>
  <c r="P26" i="7"/>
  <c r="R26" i="7" s="1"/>
  <c r="S26" i="7" s="1"/>
  <c r="J69" i="7" s="1"/>
  <c r="M69" i="7" s="1"/>
  <c r="I26" i="2"/>
  <c r="K25" i="2"/>
  <c r="E26" i="9"/>
  <c r="I24" i="2"/>
  <c r="K24" i="2"/>
  <c r="J24" i="2"/>
  <c r="D24" i="2"/>
  <c r="E24" i="2" s="1"/>
  <c r="L24" i="2" s="1"/>
  <c r="P25" i="7"/>
  <c r="R25" i="7" s="1"/>
  <c r="S25" i="7" s="1"/>
  <c r="J68" i="7" s="1"/>
  <c r="M68" i="7" s="1"/>
  <c r="D26" i="2"/>
  <c r="E26" i="2" s="1"/>
  <c r="L26" i="2" s="1"/>
  <c r="I23" i="2"/>
  <c r="P27" i="7"/>
  <c r="R27" i="7" s="1"/>
  <c r="S27" i="7" s="1"/>
  <c r="J70" i="7" s="1"/>
  <c r="M70" i="7" s="1"/>
  <c r="D25" i="2"/>
  <c r="E25" i="2" s="1"/>
  <c r="L25" i="2" s="1"/>
  <c r="I22" i="2"/>
  <c r="J22" i="2"/>
  <c r="J21" i="2"/>
  <c r="I21" i="2"/>
  <c r="K21" i="2"/>
  <c r="J20" i="2"/>
  <c r="K20" i="2"/>
  <c r="K23" i="2"/>
  <c r="K22" i="2"/>
  <c r="I20" i="2"/>
  <c r="K19" i="2"/>
  <c r="J19" i="2"/>
  <c r="G18" i="2"/>
  <c r="J18" i="2" s="1"/>
  <c r="F18" i="2"/>
  <c r="C16" i="9"/>
  <c r="E16" i="9" s="1"/>
  <c r="C15" i="9"/>
  <c r="E19" i="9"/>
  <c r="E20" i="9"/>
  <c r="C21" i="9"/>
  <c r="E21" i="9" s="1"/>
  <c r="C22" i="9"/>
  <c r="E22" i="9" s="1"/>
  <c r="C23" i="9"/>
  <c r="E23" i="9" s="1"/>
  <c r="K63" i="7"/>
  <c r="K64" i="7"/>
  <c r="K65" i="7"/>
  <c r="K66" i="7"/>
  <c r="K67" i="7"/>
  <c r="D63" i="7"/>
  <c r="E63" i="7"/>
  <c r="F63" i="7" s="1"/>
  <c r="G63" i="7" s="1"/>
  <c r="L63" i="7" s="1"/>
  <c r="D64" i="7"/>
  <c r="E64" i="7"/>
  <c r="F64" i="7" s="1"/>
  <c r="G64" i="7" s="1"/>
  <c r="L64" i="7" s="1"/>
  <c r="D65" i="7"/>
  <c r="F65" i="7"/>
  <c r="G65" i="7" s="1"/>
  <c r="L65" i="7" s="1"/>
  <c r="D66" i="7"/>
  <c r="E66" i="7"/>
  <c r="F66" i="7" s="1"/>
  <c r="G66" i="7" s="1"/>
  <c r="L66" i="7" s="1"/>
  <c r="D67" i="7"/>
  <c r="E67" i="7"/>
  <c r="F67" i="7" s="1"/>
  <c r="G67" i="7" s="1"/>
  <c r="L67" i="7" s="1"/>
  <c r="L20" i="7"/>
  <c r="M20" i="7"/>
  <c r="N20" i="7" s="1"/>
  <c r="L21" i="7"/>
  <c r="M21" i="7"/>
  <c r="L22" i="7"/>
  <c r="M22" i="7"/>
  <c r="L23" i="7"/>
  <c r="M23" i="7"/>
  <c r="L24" i="7"/>
  <c r="M24" i="7"/>
  <c r="Q20" i="7"/>
  <c r="Q21" i="7"/>
  <c r="Q22" i="7"/>
  <c r="Q23" i="7"/>
  <c r="Q24" i="7"/>
  <c r="D20" i="7"/>
  <c r="E20" i="7"/>
  <c r="D21" i="7"/>
  <c r="E21" i="7"/>
  <c r="D22" i="7"/>
  <c r="E22" i="7"/>
  <c r="F22" i="7" s="1"/>
  <c r="D23" i="7"/>
  <c r="E23" i="7"/>
  <c r="F23" i="7" s="1"/>
  <c r="D24" i="7"/>
  <c r="E24" i="7"/>
  <c r="F24" i="7" s="1"/>
  <c r="E17" i="9"/>
  <c r="E18" i="9"/>
  <c r="F16" i="2"/>
  <c r="I16" i="2" s="1"/>
  <c r="F17" i="2"/>
  <c r="I17" i="2" s="1"/>
  <c r="G16" i="2"/>
  <c r="G17" i="2"/>
  <c r="G15" i="2"/>
  <c r="F15" i="2"/>
  <c r="K59" i="7"/>
  <c r="K60" i="7"/>
  <c r="K61" i="7"/>
  <c r="K62" i="7"/>
  <c r="D59" i="7"/>
  <c r="E59" i="7"/>
  <c r="F59" i="7" s="1"/>
  <c r="G59" i="7" s="1"/>
  <c r="L59" i="7" s="1"/>
  <c r="D60" i="7"/>
  <c r="E60" i="7"/>
  <c r="F60" i="7" s="1"/>
  <c r="G60" i="7" s="1"/>
  <c r="L60" i="7" s="1"/>
  <c r="D61" i="7"/>
  <c r="E61" i="7"/>
  <c r="F61" i="7" s="1"/>
  <c r="G61" i="7" s="1"/>
  <c r="L61" i="7" s="1"/>
  <c r="D62" i="7"/>
  <c r="E62" i="7"/>
  <c r="F62" i="7" s="1"/>
  <c r="G62" i="7" s="1"/>
  <c r="L62" i="7" s="1"/>
  <c r="Q16" i="7"/>
  <c r="Q17" i="7"/>
  <c r="Q18" i="7"/>
  <c r="Q19" i="7"/>
  <c r="L16" i="7"/>
  <c r="M16" i="7"/>
  <c r="N16" i="7" s="1"/>
  <c r="L17" i="7"/>
  <c r="M17" i="7"/>
  <c r="N17" i="7" s="1"/>
  <c r="L18" i="7"/>
  <c r="M18" i="7"/>
  <c r="N18" i="7" s="1"/>
  <c r="L19" i="7"/>
  <c r="M19" i="7"/>
  <c r="N19" i="7" s="1"/>
  <c r="D16" i="7"/>
  <c r="E16" i="7"/>
  <c r="D15" i="2" s="1"/>
  <c r="D17" i="7"/>
  <c r="E17" i="7"/>
  <c r="D16" i="2" s="1"/>
  <c r="D18" i="7"/>
  <c r="E18" i="7"/>
  <c r="F18" i="7" s="1"/>
  <c r="D19" i="7"/>
  <c r="E19" i="7"/>
  <c r="F19" i="7" s="1"/>
  <c r="G14" i="2"/>
  <c r="F14" i="2"/>
  <c r="I14" i="2" s="1"/>
  <c r="M15" i="7"/>
  <c r="N15" i="7" s="1"/>
  <c r="M14" i="7"/>
  <c r="N14" i="7" s="1"/>
  <c r="M13" i="7"/>
  <c r="N13" i="7" s="1"/>
  <c r="E15" i="9" l="1"/>
  <c r="E39" i="9" s="1"/>
  <c r="C39" i="9"/>
  <c r="I15" i="2"/>
  <c r="F39" i="2"/>
  <c r="G39" i="2"/>
  <c r="D23" i="2"/>
  <c r="E23" i="2" s="1"/>
  <c r="L23" i="2" s="1"/>
  <c r="P23" i="7"/>
  <c r="R23" i="7" s="1"/>
  <c r="S23" i="7" s="1"/>
  <c r="J66" i="7" s="1"/>
  <c r="M66" i="7" s="1"/>
  <c r="D22" i="2"/>
  <c r="E22" i="2" s="1"/>
  <c r="L22" i="2" s="1"/>
  <c r="N22" i="7"/>
  <c r="D21" i="2"/>
  <c r="E21" i="2" s="1"/>
  <c r="L21" i="2" s="1"/>
  <c r="F21" i="7"/>
  <c r="D20" i="2"/>
  <c r="E20" i="2" s="1"/>
  <c r="L20" i="2" s="1"/>
  <c r="F20" i="7"/>
  <c r="D19" i="2"/>
  <c r="E19" i="2" s="1"/>
  <c r="L19" i="2" s="1"/>
  <c r="P24" i="7"/>
  <c r="R24" i="7" s="1"/>
  <c r="S24" i="7" s="1"/>
  <c r="J67" i="7" s="1"/>
  <c r="M67" i="7" s="1"/>
  <c r="P21" i="7"/>
  <c r="R21" i="7" s="1"/>
  <c r="S21" i="7" s="1"/>
  <c r="J64" i="7" s="1"/>
  <c r="M64" i="7" s="1"/>
  <c r="P20" i="7"/>
  <c r="R20" i="7" s="1"/>
  <c r="S20" i="7" s="1"/>
  <c r="J63" i="7" s="1"/>
  <c r="M63" i="7" s="1"/>
  <c r="N23" i="7"/>
  <c r="P22" i="7"/>
  <c r="R22" i="7" s="1"/>
  <c r="S22" i="7" s="1"/>
  <c r="J65" i="7" s="1"/>
  <c r="M65" i="7" s="1"/>
  <c r="D18" i="2"/>
  <c r="E18" i="2" s="1"/>
  <c r="L18" i="2" s="1"/>
  <c r="K16" i="2"/>
  <c r="N24" i="7"/>
  <c r="N21" i="7"/>
  <c r="F17" i="7"/>
  <c r="P19" i="7"/>
  <c r="R19" i="7" s="1"/>
  <c r="J16" i="2"/>
  <c r="D17" i="2"/>
  <c r="E17" i="2" s="1"/>
  <c r="L17" i="2" s="1"/>
  <c r="F16" i="7"/>
  <c r="P16" i="7"/>
  <c r="R16" i="7" s="1"/>
  <c r="S16" i="7" s="1"/>
  <c r="J59" i="7" s="1"/>
  <c r="M59" i="7" s="1"/>
  <c r="K17" i="2"/>
  <c r="K15" i="2"/>
  <c r="K39" i="2" s="1"/>
  <c r="P17" i="7"/>
  <c r="R17" i="7" s="1"/>
  <c r="S17" i="7" s="1"/>
  <c r="J60" i="7" s="1"/>
  <c r="M60" i="7" s="1"/>
  <c r="P18" i="7"/>
  <c r="R18" i="7" s="1"/>
  <c r="S18" i="7" s="1"/>
  <c r="J61" i="7" s="1"/>
  <c r="M61" i="7" s="1"/>
  <c r="J15" i="2"/>
  <c r="J17" i="2"/>
  <c r="E16" i="2"/>
  <c r="L16" i="2" s="1"/>
  <c r="I18" i="2"/>
  <c r="K18" i="2"/>
  <c r="E15" i="2"/>
  <c r="L15" i="2" s="1"/>
  <c r="C10" i="9"/>
  <c r="J39" i="2" l="1"/>
  <c r="I39" i="2"/>
  <c r="S19" i="7"/>
  <c r="J62" i="7" s="1"/>
  <c r="M62" i="7" s="1"/>
  <c r="C12" i="9"/>
  <c r="C13" i="9"/>
  <c r="C14" i="9"/>
  <c r="B12" i="9"/>
  <c r="B13" i="9"/>
  <c r="B14" i="9"/>
  <c r="C11" i="9"/>
  <c r="B11" i="9"/>
  <c r="B11" i="3" l="1"/>
  <c r="E11" i="9" l="1"/>
  <c r="B10" i="9"/>
  <c r="E10" i="9" s="1"/>
  <c r="C9" i="9"/>
  <c r="B9" i="9"/>
  <c r="C8" i="9"/>
  <c r="B8" i="9"/>
  <c r="E7" i="9"/>
  <c r="E6" i="9"/>
  <c r="E5" i="9"/>
  <c r="E4" i="9"/>
  <c r="E3" i="9"/>
  <c r="E2" i="9"/>
  <c r="E13" i="9" l="1"/>
  <c r="E9" i="9"/>
  <c r="E14" i="9"/>
  <c r="E12" i="9"/>
  <c r="E8" i="9"/>
  <c r="M12" i="7" l="1"/>
  <c r="N12" i="7" s="1"/>
  <c r="C11" i="2"/>
  <c r="C12" i="2"/>
  <c r="C13" i="2"/>
  <c r="C14" i="2"/>
  <c r="J14" i="2" s="1"/>
  <c r="C10" i="2"/>
  <c r="Q12" i="7" l="1"/>
  <c r="Q13" i="7"/>
  <c r="Q14" i="7"/>
  <c r="Q15" i="7"/>
  <c r="Q11" i="7"/>
  <c r="E11" i="7"/>
  <c r="F10" i="2"/>
  <c r="E12" i="7"/>
  <c r="D11" i="2" s="1"/>
  <c r="E13" i="7"/>
  <c r="F13" i="7" s="1"/>
  <c r="E14" i="7"/>
  <c r="D13" i="2" s="1"/>
  <c r="E15" i="7"/>
  <c r="F15" i="7" s="1"/>
  <c r="E54" i="7"/>
  <c r="E55" i="7"/>
  <c r="E56" i="7"/>
  <c r="F56" i="7" s="1"/>
  <c r="E57" i="7"/>
  <c r="F57" i="7" s="1"/>
  <c r="E58" i="7"/>
  <c r="F58" i="7" s="1"/>
  <c r="G10" i="2"/>
  <c r="P14" i="7" l="1"/>
  <c r="R14" i="7" s="1"/>
  <c r="S14" i="7" s="1"/>
  <c r="J57" i="7" s="1"/>
  <c r="F55" i="7"/>
  <c r="P15" i="7"/>
  <c r="R15" i="7" s="1"/>
  <c r="S15" i="7" s="1"/>
  <c r="J58" i="7" s="1"/>
  <c r="P13" i="7"/>
  <c r="R13" i="7" s="1"/>
  <c r="S13" i="7" s="1"/>
  <c r="J56" i="7" s="1"/>
  <c r="P12" i="7"/>
  <c r="R12" i="7" s="1"/>
  <c r="S12" i="7" s="1"/>
  <c r="J55" i="7" s="1"/>
  <c r="F12" i="7"/>
  <c r="D12" i="2"/>
  <c r="D14" i="2"/>
  <c r="F14" i="7"/>
  <c r="C9" i="3"/>
  <c r="B9" i="3"/>
  <c r="M11" i="7"/>
  <c r="F54" i="7"/>
  <c r="G54" i="7" s="1"/>
  <c r="G58" i="7"/>
  <c r="K3" i="2"/>
  <c r="K4" i="2"/>
  <c r="K5" i="2"/>
  <c r="K6" i="2"/>
  <c r="K7" i="2"/>
  <c r="K2" i="2"/>
  <c r="M10" i="7"/>
  <c r="N10" i="7" s="1"/>
  <c r="M4" i="7"/>
  <c r="N4" i="7" s="1"/>
  <c r="M5" i="7"/>
  <c r="N5" i="7" s="1"/>
  <c r="M6" i="7"/>
  <c r="N6" i="7" s="1"/>
  <c r="M7" i="7"/>
  <c r="N7" i="7" s="1"/>
  <c r="M8" i="7"/>
  <c r="N8" i="7" s="1"/>
  <c r="M9" i="7"/>
  <c r="N9" i="7" s="1"/>
  <c r="M3" i="7"/>
  <c r="N3" i="7" s="1"/>
  <c r="K46" i="7" s="1"/>
  <c r="E10" i="7"/>
  <c r="F10" i="7" s="1"/>
  <c r="L9" i="7"/>
  <c r="D9" i="7"/>
  <c r="E9" i="7"/>
  <c r="F9" i="7" s="1"/>
  <c r="E53" i="7"/>
  <c r="E52" i="7"/>
  <c r="D53" i="7"/>
  <c r="B10" i="3"/>
  <c r="B12" i="3"/>
  <c r="B13" i="3"/>
  <c r="B14" i="3"/>
  <c r="C10" i="3"/>
  <c r="C11" i="3"/>
  <c r="C12" i="3"/>
  <c r="C13" i="3"/>
  <c r="C14" i="3"/>
  <c r="C8" i="3"/>
  <c r="B8" i="3"/>
  <c r="G11" i="2"/>
  <c r="J11" i="2" s="1"/>
  <c r="G12" i="2"/>
  <c r="J12" i="2" s="1"/>
  <c r="G13" i="2"/>
  <c r="J13" i="2" s="1"/>
  <c r="I10" i="2"/>
  <c r="F11" i="2"/>
  <c r="I11" i="2" s="1"/>
  <c r="F12" i="2"/>
  <c r="I12" i="2" s="1"/>
  <c r="F13" i="2"/>
  <c r="I13" i="2" s="1"/>
  <c r="I8" i="2"/>
  <c r="C8" i="2"/>
  <c r="D46" i="7"/>
  <c r="D47" i="7"/>
  <c r="D48" i="7"/>
  <c r="D49" i="7"/>
  <c r="D50" i="7"/>
  <c r="D51" i="7"/>
  <c r="D52" i="7"/>
  <c r="D54" i="7"/>
  <c r="D55" i="7"/>
  <c r="D56" i="7"/>
  <c r="D57" i="7"/>
  <c r="D58" i="7"/>
  <c r="L3" i="7"/>
  <c r="L4" i="7"/>
  <c r="L5" i="7"/>
  <c r="L6" i="7"/>
  <c r="L7" i="7"/>
  <c r="L8" i="7"/>
  <c r="L10" i="7"/>
  <c r="L11" i="7"/>
  <c r="L12" i="7"/>
  <c r="L13" i="7"/>
  <c r="L14" i="7"/>
  <c r="L15" i="7"/>
  <c r="D4" i="7"/>
  <c r="D5" i="7"/>
  <c r="D6" i="7"/>
  <c r="D7" i="7"/>
  <c r="D8" i="7"/>
  <c r="D10" i="7"/>
  <c r="D11" i="7"/>
  <c r="D12" i="7"/>
  <c r="D13" i="7"/>
  <c r="D14" i="7"/>
  <c r="D15" i="7"/>
  <c r="D3" i="7"/>
  <c r="E47" i="7"/>
  <c r="E48" i="7"/>
  <c r="E49" i="7"/>
  <c r="E50" i="7"/>
  <c r="E51" i="7"/>
  <c r="G57" i="7"/>
  <c r="E46" i="7"/>
  <c r="F11" i="7"/>
  <c r="E4" i="7"/>
  <c r="F4" i="7" s="1"/>
  <c r="J47" i="7" s="1"/>
  <c r="E5" i="7"/>
  <c r="F5" i="7" s="1"/>
  <c r="J48" i="7" s="1"/>
  <c r="E6" i="7"/>
  <c r="F6" i="7" s="1"/>
  <c r="J49" i="7" s="1"/>
  <c r="E7" i="7"/>
  <c r="F7" i="7" s="1"/>
  <c r="J50" i="7" s="1"/>
  <c r="E8" i="7"/>
  <c r="F8" i="7" s="1"/>
  <c r="J51" i="7" s="1"/>
  <c r="E3" i="7"/>
  <c r="F3" i="7" s="1"/>
  <c r="J46" i="7" s="1"/>
  <c r="K55" i="7"/>
  <c r="G56" i="7"/>
  <c r="E7" i="3"/>
  <c r="E6" i="3"/>
  <c r="E5" i="3"/>
  <c r="E4" i="3"/>
  <c r="E3" i="3"/>
  <c r="E2" i="3"/>
  <c r="J7" i="2"/>
  <c r="I7" i="2"/>
  <c r="J6" i="2"/>
  <c r="I6" i="2"/>
  <c r="J5" i="2"/>
  <c r="I5" i="2"/>
  <c r="J4" i="2"/>
  <c r="I4" i="2"/>
  <c r="J3" i="2"/>
  <c r="I3" i="2"/>
  <c r="J2" i="2"/>
  <c r="I2" i="2"/>
  <c r="F50" i="7" l="1"/>
  <c r="G50" i="7" s="1"/>
  <c r="L50" i="7" s="1"/>
  <c r="F47" i="7"/>
  <c r="G47" i="7" s="1"/>
  <c r="L47" i="7" s="1"/>
  <c r="F46" i="7"/>
  <c r="G46" i="7" s="1"/>
  <c r="L46" i="7" s="1"/>
  <c r="M46" i="7" s="1"/>
  <c r="F52" i="7"/>
  <c r="G52" i="7" s="1"/>
  <c r="L52" i="7" s="1"/>
  <c r="F49" i="7"/>
  <c r="G49" i="7" s="1"/>
  <c r="L49" i="7" s="1"/>
  <c r="F48" i="7"/>
  <c r="G48" i="7" s="1"/>
  <c r="L48" i="7" s="1"/>
  <c r="F53" i="7"/>
  <c r="G53" i="7" s="1"/>
  <c r="L53" i="7" s="1"/>
  <c r="F51" i="7"/>
  <c r="G51" i="7" s="1"/>
  <c r="L51" i="7" s="1"/>
  <c r="E12" i="2"/>
  <c r="L12" i="2" s="1"/>
  <c r="E11" i="2"/>
  <c r="L11" i="2" s="1"/>
  <c r="N11" i="7"/>
  <c r="P11" i="7"/>
  <c r="R11" i="7" s="1"/>
  <c r="S11" i="7" s="1"/>
  <c r="J54" i="7" s="1"/>
  <c r="D10" i="2"/>
  <c r="E10" i="2" s="1"/>
  <c r="L10" i="2" s="1"/>
  <c r="E9" i="3"/>
  <c r="E14" i="2"/>
  <c r="L14" i="2" s="1"/>
  <c r="E13" i="2"/>
  <c r="L13" i="2" s="1"/>
  <c r="J9" i="2"/>
  <c r="K9" i="2"/>
  <c r="I9" i="2"/>
  <c r="K13" i="2"/>
  <c r="K11" i="2"/>
  <c r="K12" i="2"/>
  <c r="K10" i="2"/>
  <c r="K14" i="2"/>
  <c r="J8" i="2"/>
  <c r="E12" i="3"/>
  <c r="J10" i="2"/>
  <c r="E14" i="3"/>
  <c r="K8" i="2"/>
  <c r="E8" i="3"/>
  <c r="E13" i="3"/>
  <c r="G55" i="7"/>
  <c r="L55" i="7" s="1"/>
  <c r="K52" i="7"/>
  <c r="K50" i="7"/>
  <c r="K54" i="7"/>
  <c r="K56" i="7"/>
  <c r="L56" i="7"/>
  <c r="L57" i="7"/>
  <c r="K58" i="7"/>
  <c r="K49" i="7"/>
  <c r="K57" i="7"/>
  <c r="K48" i="7"/>
  <c r="L58" i="7"/>
  <c r="L54" i="7"/>
  <c r="K47" i="7"/>
  <c r="K51" i="7"/>
  <c r="E11" i="3"/>
  <c r="E10" i="3"/>
  <c r="C15" i="3"/>
  <c r="M47" i="7" l="1"/>
  <c r="M48" i="7"/>
  <c r="M50" i="7"/>
  <c r="M49" i="7"/>
  <c r="M51" i="7"/>
  <c r="J52" i="7"/>
  <c r="J53" i="7"/>
  <c r="E15" i="3"/>
  <c r="M56" i="7"/>
  <c r="M57" i="7"/>
  <c r="M54" i="7"/>
  <c r="K53" i="7"/>
  <c r="M58" i="7"/>
  <c r="M55" i="7"/>
  <c r="M52" i="7" l="1"/>
  <c r="M53" i="7"/>
</calcChain>
</file>

<file path=xl/sharedStrings.xml><?xml version="1.0" encoding="utf-8"?>
<sst xmlns="http://schemas.openxmlformats.org/spreadsheetml/2006/main" count="18114" uniqueCount="2696">
  <si>
    <t>Date updated</t>
  </si>
  <si>
    <t xml:space="preserve">MOC - Verifone </t>
  </si>
  <si>
    <t>MOC - non Verifone</t>
  </si>
  <si>
    <t>Month</t>
  </si>
  <si>
    <t>Tickets Opened</t>
  </si>
  <si>
    <t>Install base</t>
  </si>
  <si>
    <t>Tickets Allowed</t>
  </si>
  <si>
    <t>Tickets Over</t>
  </si>
  <si>
    <t>Jan</t>
  </si>
  <si>
    <t>Feb</t>
  </si>
  <si>
    <t>Mar</t>
  </si>
  <si>
    <t>Apr</t>
  </si>
  <si>
    <t>May</t>
  </si>
  <si>
    <t>June</t>
  </si>
  <si>
    <t>Aug</t>
  </si>
  <si>
    <t>Sep</t>
  </si>
  <si>
    <t>Oct</t>
  </si>
  <si>
    <t>Nov</t>
  </si>
  <si>
    <t>Dec</t>
  </si>
  <si>
    <t>LCM</t>
  </si>
  <si>
    <t>Total Overage Trends</t>
  </si>
  <si>
    <t>RMA Opened</t>
  </si>
  <si>
    <t>RMAs Allowed</t>
  </si>
  <si>
    <t>RMAs Over</t>
  </si>
  <si>
    <t>Overage $89</t>
  </si>
  <si>
    <t>MOC Verifone</t>
  </si>
  <si>
    <t>MOC Non-Verifone</t>
  </si>
  <si>
    <t>Total</t>
  </si>
  <si>
    <t>Jun</t>
  </si>
  <si>
    <t>Intall Base
Non-Verifone</t>
  </si>
  <si>
    <t>Install Base
Verifone</t>
  </si>
  <si>
    <t>Actual Tickets
Non-Verifone</t>
  </si>
  <si>
    <t>Actual Tickets
Verifone</t>
  </si>
  <si>
    <t>Non-Verifone</t>
  </si>
  <si>
    <t>Verifone</t>
  </si>
  <si>
    <t>Actual RMAs
Verifone</t>
  </si>
  <si>
    <t>Ticket #</t>
  </si>
  <si>
    <t>Title</t>
  </si>
  <si>
    <t>Opened</t>
  </si>
  <si>
    <t>Status</t>
  </si>
  <si>
    <t>Trouble Type</t>
  </si>
  <si>
    <t>Subtype</t>
  </si>
  <si>
    <t>Symptom</t>
  </si>
  <si>
    <t>Root Cause</t>
  </si>
  <si>
    <t>Solution</t>
  </si>
  <si>
    <t>RMA #</t>
  </si>
  <si>
    <t>Device Type</t>
  </si>
  <si>
    <t>Dutch Bros Verifone -- Hardware -- Verifone E285 -- Tampered device</t>
  </si>
  <si>
    <t>Hardware</t>
  </si>
  <si>
    <t>Verifone E285</t>
  </si>
  <si>
    <t>Tampered device</t>
  </si>
  <si>
    <t>Processed RMA</t>
  </si>
  <si>
    <t>e285</t>
  </si>
  <si>
    <t>Inquiry/ Help</t>
  </si>
  <si>
    <t>Assistance Request</t>
  </si>
  <si>
    <t>Escalated to Dutch Bros</t>
  </si>
  <si>
    <t>MW68CW</t>
  </si>
  <si>
    <t>Dutch Bros -- Network -- Connectivity -- Unable to Connect to WIFI</t>
  </si>
  <si>
    <t>Network</t>
  </si>
  <si>
    <t>Connectivity</t>
  </si>
  <si>
    <t>Unable to Connect to WIFI</t>
  </si>
  <si>
    <t>Shop Network Down in Meraki</t>
  </si>
  <si>
    <t>Dutch Bros Verifone -- Inquiry/ Help -- Assistance Request -- Ticket Status</t>
  </si>
  <si>
    <t>Ticket Status</t>
  </si>
  <si>
    <t>Ticket Status Request</t>
  </si>
  <si>
    <t>Provided Ticket Status</t>
  </si>
  <si>
    <t>Device in Tamper mode</t>
  </si>
  <si>
    <t>Dutch Bros Verifone -- Hardware -- Verifone E285 -- Won't power on</t>
  </si>
  <si>
    <t>Won't power on</t>
  </si>
  <si>
    <t>Power Issue</t>
  </si>
  <si>
    <t>RMA</t>
  </si>
  <si>
    <t>Dutch Bros Verifone -- Hardware -- Verifone E285 -- Unable to Pair</t>
  </si>
  <si>
    <t>Unable to Pair</t>
  </si>
  <si>
    <t>Bluetooth/Pairing Issue</t>
  </si>
  <si>
    <t>Dutch Bros Verifone -- Hardware -- Verifone E285 -- Physical Damage</t>
  </si>
  <si>
    <t>Physical Damage</t>
  </si>
  <si>
    <t>Physical Damage to Housing</t>
  </si>
  <si>
    <t>Software</t>
  </si>
  <si>
    <t>Xenial</t>
  </si>
  <si>
    <t>Dutch Bros -- Software -- Xenial -- Unable to View Orders</t>
  </si>
  <si>
    <t>Unable to View Orders</t>
  </si>
  <si>
    <t>Application Issue</t>
  </si>
  <si>
    <t>Hardware Failure</t>
  </si>
  <si>
    <t>Rebooted Device</t>
  </si>
  <si>
    <t>Not Supported by MOC</t>
  </si>
  <si>
    <t>Tamper check form</t>
  </si>
  <si>
    <t>Damaged Charging Port</t>
  </si>
  <si>
    <t>Closed</t>
  </si>
  <si>
    <t>Reconnected to Network</t>
  </si>
  <si>
    <t>Sonos/ Cloud Cover</t>
  </si>
  <si>
    <t>Training Issue</t>
  </si>
  <si>
    <t>Connectivity Issue</t>
  </si>
  <si>
    <t>Broken security seal</t>
  </si>
  <si>
    <t>Refreshed Terminal Data</t>
  </si>
  <si>
    <t>Jul (old rate)</t>
  </si>
  <si>
    <t>Jul (new rate)</t>
  </si>
  <si>
    <t>Overall</t>
  </si>
  <si>
    <t>Contractual IR 5%</t>
  </si>
  <si>
    <r>
      <t xml:space="preserve">Jul
 </t>
    </r>
    <r>
      <rPr>
        <sz val="9"/>
        <color theme="1"/>
        <rFont val="Calibri"/>
        <family val="2"/>
        <scheme val="minor"/>
      </rPr>
      <t>(old rate)</t>
    </r>
  </si>
  <si>
    <r>
      <t xml:space="preserve">Jul
 </t>
    </r>
    <r>
      <rPr>
        <sz val="9"/>
        <color theme="1"/>
        <rFont val="Calibri"/>
        <family val="2"/>
        <scheme val="minor"/>
      </rPr>
      <t>(new rate)</t>
    </r>
  </si>
  <si>
    <r>
      <t xml:space="preserve">Jul
</t>
    </r>
    <r>
      <rPr>
        <sz val="9"/>
        <color theme="1"/>
        <rFont val="Calibri"/>
        <family val="2"/>
        <scheme val="minor"/>
      </rPr>
      <t xml:space="preserve"> (old rate)</t>
    </r>
  </si>
  <si>
    <t>Allowed Tickets</t>
  </si>
  <si>
    <t>Overages</t>
  </si>
  <si>
    <t>Opened Tickets</t>
  </si>
  <si>
    <t>Overage</t>
  </si>
  <si>
    <r>
      <t xml:space="preserve">Actual Incident Rate 
</t>
    </r>
    <r>
      <rPr>
        <sz val="8"/>
        <color rgb="FF000000"/>
        <rFont val="Calibri"/>
        <family val="2"/>
        <scheme val="minor"/>
      </rPr>
      <t xml:space="preserve">(5% Contractual) </t>
    </r>
  </si>
  <si>
    <r>
      <t xml:space="preserve">Combined MOC Tickets
</t>
    </r>
    <r>
      <rPr>
        <sz val="8"/>
        <color theme="1"/>
        <rFont val="Calibri"/>
        <family val="2"/>
        <scheme val="minor"/>
      </rPr>
      <t xml:space="preserve"> (used to calculate Overages)</t>
    </r>
  </si>
  <si>
    <t>Order Ahead</t>
  </si>
  <si>
    <t>Dutch Bros -- Software -- Order Ahead -- Lead time extension request</t>
  </si>
  <si>
    <t>Lead time extension request</t>
  </si>
  <si>
    <t>Dutch Bros -- Software -- Order Ahead -- Shop offline</t>
  </si>
  <si>
    <t>Shop offline</t>
  </si>
  <si>
    <t>July</t>
  </si>
  <si>
    <t>Dutch Bros Verifone -- Hardware -- Verifone E285 -- Lost/ Stolen</t>
  </si>
  <si>
    <t>Lost/ Stolen</t>
  </si>
  <si>
    <t>Device Lost</t>
  </si>
  <si>
    <t>Processed lost/stolen RMA</t>
  </si>
  <si>
    <t>Jul</t>
  </si>
  <si>
    <t>Dutch Bros -- Software -- Order Ahead -- Missing order</t>
  </si>
  <si>
    <t>Missing order</t>
  </si>
  <si>
    <t>Dutch Bros Verifone -- Hardware -- Verifone E285 -- Touchscreen Unresponsive</t>
  </si>
  <si>
    <t>Touchscreen Unresponsive</t>
  </si>
  <si>
    <t>Unable to process order ahead orders</t>
  </si>
  <si>
    <t>Extended lead time</t>
  </si>
  <si>
    <t>Dutch Bros -- Software -- Order Ahead -- Order Ahead Turn off request</t>
  </si>
  <si>
    <t>Order Ahead Turn off request</t>
  </si>
  <si>
    <t>Turned off Order Ahead</t>
  </si>
  <si>
    <t>Order Ahead turned off</t>
  </si>
  <si>
    <t>Resumed Order Ahead in Olo</t>
  </si>
  <si>
    <t>Windows PC</t>
  </si>
  <si>
    <t>Tamper suspected</t>
  </si>
  <si>
    <t>Dutch Bros -- Software -- Unsupported Application -- Unsupported Application</t>
  </si>
  <si>
    <t>Unsupported Application</t>
  </si>
  <si>
    <t>Epson Printer</t>
  </si>
  <si>
    <t>TM-T88VI</t>
  </si>
  <si>
    <t>Dutch Bros -- Hardware -- Epson Printer -- Will not Print</t>
  </si>
  <si>
    <t>Will not Print</t>
  </si>
  <si>
    <t>Dutch Bros -- Inquiry/ Help -- Assistance Request -- HQ Calls</t>
  </si>
  <si>
    <t>HQ Calls</t>
  </si>
  <si>
    <t>Water Damage</t>
  </si>
  <si>
    <t>Dutch Bros -- Hardware -- Unsupported Device -- Unsupported Device</t>
  </si>
  <si>
    <t>Unsupported Device</t>
  </si>
  <si>
    <t>Dutch Bros -- Software -- Sonos/ Cloud Cover -- No Music Playing</t>
  </si>
  <si>
    <t>No Music Playing</t>
  </si>
  <si>
    <t>Will Not Power On</t>
  </si>
  <si>
    <t>Missing security seal</t>
  </si>
  <si>
    <t>Deputy</t>
  </si>
  <si>
    <t>Pairing Assistance</t>
  </si>
  <si>
    <t>Screen Damaged</t>
  </si>
  <si>
    <t>Signs of device tampering</t>
  </si>
  <si>
    <t>Dutch Bros -- Hardware -- Epson Printer -- Will Not Power On</t>
  </si>
  <si>
    <t>Re-configured Printer to Xenial App</t>
  </si>
  <si>
    <t>Dutch Bros -- Inquiry/ Help -- Assistance Request -- Ticket Status</t>
  </si>
  <si>
    <t>Speaker</t>
  </si>
  <si>
    <t>Navco</t>
  </si>
  <si>
    <t>Dutch Bros Verifone -- Inquiry/ Help -- Tamper check form -- Flagged device</t>
  </si>
  <si>
    <t>Flagged device</t>
  </si>
  <si>
    <t>Not available</t>
  </si>
  <si>
    <t>Dutch Bros -- Inquiry/ Help -- Assistance Request -- LTCG Calls</t>
  </si>
  <si>
    <t>LTCG Calls</t>
  </si>
  <si>
    <t>Meraki Equipment Replacement</t>
  </si>
  <si>
    <t>Dutch Bros -- Software -- OS -- iOS Update Failed</t>
  </si>
  <si>
    <t>OS</t>
  </si>
  <si>
    <t>iOS Update Failed</t>
  </si>
  <si>
    <t>Unable to update iOS</t>
  </si>
  <si>
    <t>Rebooted Verifone Device</t>
  </si>
  <si>
    <t>Office 365 Issues</t>
  </si>
  <si>
    <t>Closed &amp; Reopend App</t>
  </si>
  <si>
    <t>Dutch Bros -- Inquiry/ Help -- Assistance Request -- Outbound Calls</t>
  </si>
  <si>
    <t>Outbound Calls</t>
  </si>
  <si>
    <t>Cutover process</t>
  </si>
  <si>
    <t>Contacted Operator</t>
  </si>
  <si>
    <t>Provided Instructions</t>
  </si>
  <si>
    <t>Device Offline</t>
  </si>
  <si>
    <t>Dutch Bros -- Inquiry/ Help -- Assistance Request -- Test Call</t>
  </si>
  <si>
    <t>Test Call</t>
  </si>
  <si>
    <t>No Action Required</t>
  </si>
  <si>
    <t>Not connected to Network</t>
  </si>
  <si>
    <t>NewCo ID</t>
  </si>
  <si>
    <t>Due Back Days Aged</t>
  </si>
  <si>
    <t>Reported Failure</t>
  </si>
  <si>
    <t>Reported Device</t>
  </si>
  <si>
    <t>Reported Model</t>
  </si>
  <si>
    <t>Reported Serial #</t>
  </si>
  <si>
    <t>Reported Asset Tag</t>
  </si>
  <si>
    <t>Reported Tracking #</t>
  </si>
  <si>
    <t>Requestor</t>
  </si>
  <si>
    <t>Reported Repair Type</t>
  </si>
  <si>
    <t>Returned Date</t>
  </si>
  <si>
    <t>Returned Tracking #</t>
  </si>
  <si>
    <t>Shipped Date</t>
  </si>
  <si>
    <t>Shipped Tracking #</t>
  </si>
  <si>
    <t>Ship To Contact First Name</t>
  </si>
  <si>
    <t>Ship To Contact Last Name</t>
  </si>
  <si>
    <t>Pending Return</t>
  </si>
  <si>
    <t>DAMAGE - Tamper Detected</t>
  </si>
  <si>
    <t>E285 WWA Payment Device (WiFi,512MB)</t>
  </si>
  <si>
    <t>M087-500-14-WWA</t>
  </si>
  <si>
    <t>Mata Hann</t>
  </si>
  <si>
    <t>Advanced Exchange</t>
  </si>
  <si>
    <t>Isaac</t>
  </si>
  <si>
    <t>HARD - Battery Problem</t>
  </si>
  <si>
    <t>Kerry</t>
  </si>
  <si>
    <t>Parker</t>
  </si>
  <si>
    <t>HARD - Power Problem</t>
  </si>
  <si>
    <t>DAMAGE - Charging Port Damaged</t>
  </si>
  <si>
    <t>Brian</t>
  </si>
  <si>
    <t>Place</t>
  </si>
  <si>
    <t>MISC - Lost/Stolen Device</t>
  </si>
  <si>
    <t>Unit Replacement</t>
  </si>
  <si>
    <t>Larson</t>
  </si>
  <si>
    <t>Jose</t>
  </si>
  <si>
    <t>Gonzalez</t>
  </si>
  <si>
    <t>DAMAGE - Physical Damage to Housing</t>
  </si>
  <si>
    <t>Jessica</t>
  </si>
  <si>
    <t>McKinstry</t>
  </si>
  <si>
    <t>Mark</t>
  </si>
  <si>
    <t>Essey</t>
  </si>
  <si>
    <t>Chris</t>
  </si>
  <si>
    <t>Krieger</t>
  </si>
  <si>
    <t>DAMAGE - Water Damage</t>
  </si>
  <si>
    <t>Katherine</t>
  </si>
  <si>
    <t>Henell</t>
  </si>
  <si>
    <t>Dutch Bro's Store CA6103</t>
  </si>
  <si>
    <t>Jorden</t>
  </si>
  <si>
    <t>Kory</t>
  </si>
  <si>
    <t xml:space="preserve"> Kory</t>
  </si>
  <si>
    <t>Meghan</t>
  </si>
  <si>
    <t>Haley</t>
  </si>
  <si>
    <t>Jones</t>
  </si>
  <si>
    <t>Dutch Bros OR2601</t>
  </si>
  <si>
    <t>Jennifer</t>
  </si>
  <si>
    <t>Roberts</t>
  </si>
  <si>
    <t>Danielle</t>
  </si>
  <si>
    <t>Fleck</t>
  </si>
  <si>
    <t>Wight</t>
  </si>
  <si>
    <t>Jimmy</t>
  </si>
  <si>
    <t>Crocker</t>
  </si>
  <si>
    <t>Brent</t>
  </si>
  <si>
    <t>Wilson</t>
  </si>
  <si>
    <t>Matt</t>
  </si>
  <si>
    <t>Cameron</t>
  </si>
  <si>
    <t>Luke</t>
  </si>
  <si>
    <t>Bloomquist</t>
  </si>
  <si>
    <t>Dutch Bros OR1902</t>
  </si>
  <si>
    <t>Barnes</t>
  </si>
  <si>
    <t>SOFT - Out of Compliance</t>
  </si>
  <si>
    <t>Nate</t>
  </si>
  <si>
    <t>Garvin</t>
  </si>
  <si>
    <t>Brad Dye</t>
  </si>
  <si>
    <t>Dutch Bros WA0304</t>
  </si>
  <si>
    <t>HARD - Touchscreen Problem</t>
  </si>
  <si>
    <t>Nick</t>
  </si>
  <si>
    <t>Christensen</t>
  </si>
  <si>
    <t>Clayton</t>
  </si>
  <si>
    <t>Repair In Process</t>
  </si>
  <si>
    <t>MISC - Route End/Location Closing</t>
  </si>
  <si>
    <t>Sandra McNeill</t>
  </si>
  <si>
    <t>Eval and Return to Cust Stock</t>
  </si>
  <si>
    <t>Erin</t>
  </si>
  <si>
    <t>Bates</t>
  </si>
  <si>
    <t>Nicole</t>
  </si>
  <si>
    <t>Birmingham</t>
  </si>
  <si>
    <t>Tonya</t>
  </si>
  <si>
    <t>Thomason</t>
  </si>
  <si>
    <t>Ryan</t>
  </si>
  <si>
    <t>Hawkins</t>
  </si>
  <si>
    <t>Dutch Bros Store# CO1306</t>
  </si>
  <si>
    <t>Mattie</t>
  </si>
  <si>
    <t>Salvage</t>
  </si>
  <si>
    <t>Jasmine</t>
  </si>
  <si>
    <t>Del Campo</t>
  </si>
  <si>
    <t>Jacob</t>
  </si>
  <si>
    <t>Sean</t>
  </si>
  <si>
    <t>Provost</t>
  </si>
  <si>
    <t>Due Back</t>
  </si>
  <si>
    <t>Sierra</t>
  </si>
  <si>
    <t>Walker</t>
  </si>
  <si>
    <t>Dutch Bro's Store TX1204</t>
  </si>
  <si>
    <t xml:space="preserve">Tiana </t>
  </si>
  <si>
    <t>Inthathirath</t>
  </si>
  <si>
    <t>Cooper</t>
  </si>
  <si>
    <t>Jewell</t>
  </si>
  <si>
    <t>Taylor</t>
  </si>
  <si>
    <t>Luevano</t>
  </si>
  <si>
    <t>Dutch Bros UT0701</t>
  </si>
  <si>
    <t>Blake</t>
  </si>
  <si>
    <t>Pratt</t>
  </si>
  <si>
    <t>Andrew</t>
  </si>
  <si>
    <t>Randall</t>
  </si>
  <si>
    <t>Courtney</t>
  </si>
  <si>
    <t>Shaffer</t>
  </si>
  <si>
    <t>Steve</t>
  </si>
  <si>
    <t>Grubbs</t>
  </si>
  <si>
    <t>Amanda</t>
  </si>
  <si>
    <t>Ayriss</t>
  </si>
  <si>
    <t>Dutch Bros ID0706</t>
  </si>
  <si>
    <t>Dutch Bros TX4701</t>
  </si>
  <si>
    <t>Request Closed</t>
  </si>
  <si>
    <t>Lindsey</t>
  </si>
  <si>
    <t>Bianco</t>
  </si>
  <si>
    <t>Vacura</t>
  </si>
  <si>
    <t>Stewart</t>
  </si>
  <si>
    <t>Dutch Bros AZ0514</t>
  </si>
  <si>
    <t>Caleb</t>
  </si>
  <si>
    <t>Berkey</t>
  </si>
  <si>
    <t>Dutch Bros AZ0506</t>
  </si>
  <si>
    <t>1Z1882X38797161127</t>
  </si>
  <si>
    <t>Tully</t>
  </si>
  <si>
    <t>Janelle</t>
  </si>
  <si>
    <t>Prawitz</t>
  </si>
  <si>
    <t>Claire</t>
  </si>
  <si>
    <t>Beatie</t>
  </si>
  <si>
    <t>Dustin</t>
  </si>
  <si>
    <t>Graff</t>
  </si>
  <si>
    <t>Josh</t>
  </si>
  <si>
    <t>Kimzey</t>
  </si>
  <si>
    <t>HARD - Display Problem</t>
  </si>
  <si>
    <t>Adam</t>
  </si>
  <si>
    <t>Carson</t>
  </si>
  <si>
    <t>Talia</t>
  </si>
  <si>
    <t>Engle</t>
  </si>
  <si>
    <t>Morgan</t>
  </si>
  <si>
    <t>Dutch Bros OR1107</t>
  </si>
  <si>
    <t>Aaron</t>
  </si>
  <si>
    <t>Eastman</t>
  </si>
  <si>
    <t>Kevin</t>
  </si>
  <si>
    <t>Murphy</t>
  </si>
  <si>
    <t>Dutch Bros Store# CA6701</t>
  </si>
  <si>
    <t>Kaitlyn</t>
  </si>
  <si>
    <t>Bonnet</t>
  </si>
  <si>
    <t>Dutch Bros OR2701</t>
  </si>
  <si>
    <t>Kenny</t>
  </si>
  <si>
    <t>Kyle</t>
  </si>
  <si>
    <t>Boyd</t>
  </si>
  <si>
    <t>Bob</t>
  </si>
  <si>
    <t>Lengwin</t>
  </si>
  <si>
    <t>MISC - Found Lost Device</t>
  </si>
  <si>
    <t>Dutch Bros Store# MO0302</t>
  </si>
  <si>
    <t>Stephanie</t>
  </si>
  <si>
    <t>Cotton</t>
  </si>
  <si>
    <t>Dutch Bros CA0805</t>
  </si>
  <si>
    <t>Meredith</t>
  </si>
  <si>
    <t>Ignacio</t>
  </si>
  <si>
    <t>Dave</t>
  </si>
  <si>
    <t>Beamer</t>
  </si>
  <si>
    <t>Resner</t>
  </si>
  <si>
    <t>Ty</t>
  </si>
  <si>
    <t>Sullivan</t>
  </si>
  <si>
    <t>Jean Pierre</t>
  </si>
  <si>
    <t>Frary</t>
  </si>
  <si>
    <t>Kristen</t>
  </si>
  <si>
    <t>Van Horn</t>
  </si>
  <si>
    <t>Dutch Bros OR3003</t>
  </si>
  <si>
    <t>Lucas</t>
  </si>
  <si>
    <t>Matthew</t>
  </si>
  <si>
    <t>Wakeman</t>
  </si>
  <si>
    <t>Dutch Bros OR0709</t>
  </si>
  <si>
    <t>Dutch Bros CA3401</t>
  </si>
  <si>
    <t>MaKenna</t>
  </si>
  <si>
    <t>Hoyez</t>
  </si>
  <si>
    <t>Baker</t>
  </si>
  <si>
    <t>Dutch Bros CA4306</t>
  </si>
  <si>
    <t>Hague</t>
  </si>
  <si>
    <t>Dutch Brothers Store #OR3201</t>
  </si>
  <si>
    <t>Hiler</t>
  </si>
  <si>
    <t>Hailey</t>
  </si>
  <si>
    <t>Garrett</t>
  </si>
  <si>
    <t>Dutch Bros Store# FL1601</t>
  </si>
  <si>
    <t>Ray</t>
  </si>
  <si>
    <t>Haener</t>
  </si>
  <si>
    <t>Dutch Bro's TN1001</t>
  </si>
  <si>
    <t>Pomerenk</t>
  </si>
  <si>
    <t>Natalie</t>
  </si>
  <si>
    <t>Whitney</t>
  </si>
  <si>
    <t>SOFT - OS Problem</t>
  </si>
  <si>
    <t>Dutch Bros CO0809</t>
  </si>
  <si>
    <t>Kelli</t>
  </si>
  <si>
    <t>Nimmer</t>
  </si>
  <si>
    <t>Dutch Bros AZ0203</t>
  </si>
  <si>
    <t>Stevens</t>
  </si>
  <si>
    <t>Dutch Bro's TX5905</t>
  </si>
  <si>
    <t>Dutch Bros CA1404</t>
  </si>
  <si>
    <t>Dutch Bros CO0701</t>
  </si>
  <si>
    <t>Bryan</t>
  </si>
  <si>
    <t>Gumpy</t>
  </si>
  <si>
    <t>Mari</t>
  </si>
  <si>
    <t>Davison</t>
  </si>
  <si>
    <t>Maggie</t>
  </si>
  <si>
    <t>Robert</t>
  </si>
  <si>
    <t>Richardson</t>
  </si>
  <si>
    <t>Kayleigh</t>
  </si>
  <si>
    <t>Slover</t>
  </si>
  <si>
    <t>Dutch Bros CA1702</t>
  </si>
  <si>
    <t>Michelle</t>
  </si>
  <si>
    <t>Fairey</t>
  </si>
  <si>
    <t>Hernandez</t>
  </si>
  <si>
    <t>Edwin</t>
  </si>
  <si>
    <t>Reyes</t>
  </si>
  <si>
    <t>Dutch Bros WA1512</t>
  </si>
  <si>
    <t>Dutch Bros CA1207</t>
  </si>
  <si>
    <t>Sarah</t>
  </si>
  <si>
    <t>Dutch Bros OR2901</t>
  </si>
  <si>
    <t>Dutch Bros CA3002</t>
  </si>
  <si>
    <t>Dutch Bros WA0402</t>
  </si>
  <si>
    <t>Emmily</t>
  </si>
  <si>
    <t>Kirkpatrick</t>
  </si>
  <si>
    <t>Dutch Bros AZ1104</t>
  </si>
  <si>
    <t>Ritorto</t>
  </si>
  <si>
    <t>Colton</t>
  </si>
  <si>
    <t>Sims</t>
  </si>
  <si>
    <t>Dutch Bros OR2001</t>
  </si>
  <si>
    <t>Christopher</t>
  </si>
  <si>
    <t>Dutch Bros OR3202</t>
  </si>
  <si>
    <t>Emily</t>
  </si>
  <si>
    <t>Terry</t>
  </si>
  <si>
    <t>Abe</t>
  </si>
  <si>
    <t>Menshenfriend</t>
  </si>
  <si>
    <t>Jenna</t>
  </si>
  <si>
    <t>Hoffman</t>
  </si>
  <si>
    <t>Dutch Bro's Store CA5503</t>
  </si>
  <si>
    <t>Tiara</t>
  </si>
  <si>
    <t>Loville</t>
  </si>
  <si>
    <t>Simon</t>
  </si>
  <si>
    <t>Jaron</t>
  </si>
  <si>
    <t>Kroplin</t>
  </si>
  <si>
    <t>Dutch Bros CA0807</t>
  </si>
  <si>
    <t>Dutch Bros NV0312</t>
  </si>
  <si>
    <t>Thompson</t>
  </si>
  <si>
    <t>Dutch Bros TX1201</t>
  </si>
  <si>
    <t>Jeremy</t>
  </si>
  <si>
    <t>Munoz</t>
  </si>
  <si>
    <t>Dutch Bros Store# CA8102</t>
  </si>
  <si>
    <t>Brady</t>
  </si>
  <si>
    <t>Benner</t>
  </si>
  <si>
    <t>Karla</t>
  </si>
  <si>
    <t>Luna</t>
  </si>
  <si>
    <t>Dutch Bros CA2002</t>
  </si>
  <si>
    <t>Dutch Bros TX3802</t>
  </si>
  <si>
    <t>Dutch Bros Store# CA5803</t>
  </si>
  <si>
    <t>Sha'Nika</t>
  </si>
  <si>
    <t>Nau</t>
  </si>
  <si>
    <t>Dru</t>
  </si>
  <si>
    <t>O'Connor</t>
  </si>
  <si>
    <t>Dutch Bros Store# CO1502</t>
  </si>
  <si>
    <t>Maria</t>
  </si>
  <si>
    <t>Haase</t>
  </si>
  <si>
    <t>Dutch Bros NM0402</t>
  </si>
  <si>
    <t>Fast</t>
  </si>
  <si>
    <t>Kvick</t>
  </si>
  <si>
    <t>Dutch Bros Store# CA5003</t>
  </si>
  <si>
    <t>Dutch Bros Store# CA3204</t>
  </si>
  <si>
    <t>Dutch Bros CA2701</t>
  </si>
  <si>
    <t xml:space="preserve">Nathan </t>
  </si>
  <si>
    <t>Eastlund</t>
  </si>
  <si>
    <t>Dutch Bros ID0101</t>
  </si>
  <si>
    <t>Dutch Bros KS0102</t>
  </si>
  <si>
    <t>Toni</t>
  </si>
  <si>
    <t>Mestre</t>
  </si>
  <si>
    <t>Dutch Bros AZ1302</t>
  </si>
  <si>
    <t>Dutch Bros TX1303</t>
  </si>
  <si>
    <t>Jobes</t>
  </si>
  <si>
    <t>Dutch Bros CA3302</t>
  </si>
  <si>
    <t>Dutch Bros Store# CA3206</t>
  </si>
  <si>
    <t>Dutch Bros AZ0516</t>
  </si>
  <si>
    <t>Dutch Bros Store# OR3020</t>
  </si>
  <si>
    <t>Dutch Bros Store# CA1911</t>
  </si>
  <si>
    <t>Dent</t>
  </si>
  <si>
    <t>Dutch Bros CO0707</t>
  </si>
  <si>
    <t>Hardware Issue</t>
  </si>
  <si>
    <t>Dutch Bros Verifone</t>
  </si>
  <si>
    <t>DO NOT MODIFY THIS RECORD!!!!</t>
  </si>
  <si>
    <t>Email</t>
  </si>
  <si>
    <t>Dutch Bros</t>
  </si>
  <si>
    <t>Phone</t>
  </si>
  <si>
    <t>Business Process</t>
  </si>
  <si>
    <t>na</t>
  </si>
  <si>
    <t>.</t>
  </si>
  <si>
    <t>N/A</t>
  </si>
  <si>
    <t>New</t>
  </si>
  <si>
    <t>NA</t>
  </si>
  <si>
    <t>Inquiry</t>
  </si>
  <si>
    <t>Software Issue</t>
  </si>
  <si>
    <t>DB001</t>
  </si>
  <si>
    <t>Investigating</t>
  </si>
  <si>
    <t>DB00</t>
  </si>
  <si>
    <t>Network Issue</t>
  </si>
  <si>
    <t>Out of Scope</t>
  </si>
  <si>
    <t>DutchBros00000001</t>
  </si>
  <si>
    <t>na0000</t>
  </si>
  <si>
    <t>OH0401</t>
  </si>
  <si>
    <t>MO0501</t>
  </si>
  <si>
    <t>UT0503</t>
  </si>
  <si>
    <t>WA1704</t>
  </si>
  <si>
    <t>Followup Needed</t>
  </si>
  <si>
    <t>n/a</t>
  </si>
  <si>
    <t>NA (CL, CO1202)</t>
  </si>
  <si>
    <t>FL2601</t>
  </si>
  <si>
    <t>Last Activity Date</t>
  </si>
  <si>
    <t>Element</t>
  </si>
  <si>
    <t>Company</t>
  </si>
  <si>
    <t>Caller Employee Number</t>
  </si>
  <si>
    <t>Contact Type</t>
  </si>
  <si>
    <t>iPad 10.2'</t>
  </si>
  <si>
    <t>Dutch Bros -- Software -- Xenial -- Web Portal Issues</t>
  </si>
  <si>
    <t>Web Portal Issues</t>
  </si>
  <si>
    <t>Slow Response/Incorrect Data</t>
  </si>
  <si>
    <t>TX1807</t>
  </si>
  <si>
    <t>na000</t>
  </si>
  <si>
    <t>NAA</t>
  </si>
  <si>
    <t>DutchBros0000000001</t>
  </si>
  <si>
    <t>Tech Night</t>
  </si>
  <si>
    <t>DutchBros0000001</t>
  </si>
  <si>
    <t>Dutch Bros -- Software -- Navco -- OpenEye NVR Offline</t>
  </si>
  <si>
    <t>OpenEye NVR Offline</t>
  </si>
  <si>
    <t>Dutch Bros -- Software -- Sonos/ Cloud Cover -- Unable to Login to Application</t>
  </si>
  <si>
    <t>Unable to Login to Application</t>
  </si>
  <si>
    <t>Incorrect Credentials</t>
  </si>
  <si>
    <t>DB0001</t>
  </si>
  <si>
    <t>Accessory/Extra Equipment</t>
  </si>
  <si>
    <t>Dutch Bros -- Software -- Xenial -- Kitchen Video Disconnected Error</t>
  </si>
  <si>
    <t>Kitchen Video Disconnected Error</t>
  </si>
  <si>
    <t>Reconnected to DB Internal Network</t>
  </si>
  <si>
    <t>WA1402</t>
  </si>
  <si>
    <t>CO0705</t>
  </si>
  <si>
    <t>iPad 10.2</t>
  </si>
  <si>
    <t>Dutch Bros -- Software -- Deputy -- Unable to Find Employee POS ID/ Xenial ID</t>
  </si>
  <si>
    <t>Unable to Find Employee POS ID/ Xenial I</t>
  </si>
  <si>
    <t>Dutch_Bros_00001</t>
  </si>
  <si>
    <t>INC4834403</t>
  </si>
  <si>
    <t>INC4834397</t>
  </si>
  <si>
    <t>GA0202</t>
  </si>
  <si>
    <t>Dutch Bros -- Hardware -- iPad Mini -- Touchscreen Unresponsive</t>
  </si>
  <si>
    <t>iPad Mini</t>
  </si>
  <si>
    <t>CA4204</t>
  </si>
  <si>
    <t>New Shop Installs</t>
  </si>
  <si>
    <t>Dutch Bros OR2304</t>
  </si>
  <si>
    <t>807-210-860</t>
  </si>
  <si>
    <t>Dutch Bros CA4102</t>
  </si>
  <si>
    <t>Dutch Bros CA1412</t>
  </si>
  <si>
    <t>Krall</t>
  </si>
  <si>
    <t>Dutch Bros TX0101</t>
  </si>
  <si>
    <t>Dutch Bros AZ0503</t>
  </si>
  <si>
    <t>Dutch Bros AL0103</t>
  </si>
  <si>
    <t>Mara</t>
  </si>
  <si>
    <t>Guiterrez</t>
  </si>
  <si>
    <t>Dutch Bros CA4405</t>
  </si>
  <si>
    <t>Dutch Bros AZ0517</t>
  </si>
  <si>
    <t>Dutch Bros KS0101</t>
  </si>
  <si>
    <t>Dutch Bros Store# CA2606</t>
  </si>
  <si>
    <t>Dutch Bros Store# CA6401</t>
  </si>
  <si>
    <t>Juan</t>
  </si>
  <si>
    <t xml:space="preserve">Emily </t>
  </si>
  <si>
    <t>Weeks</t>
  </si>
  <si>
    <t>Flowers</t>
  </si>
  <si>
    <t>Dutch Bros #CA0905</t>
  </si>
  <si>
    <t>Dutch Bros AZ0403</t>
  </si>
  <si>
    <t>807-248-329</t>
  </si>
  <si>
    <t>Dutch Bros Store# FL0602</t>
  </si>
  <si>
    <t>Kolton</t>
  </si>
  <si>
    <t>Rohde</t>
  </si>
  <si>
    <t>Dutch Bros NV0305</t>
  </si>
  <si>
    <t>Dutch Bros CO0808</t>
  </si>
  <si>
    <t>Dutch Bros UT0605</t>
  </si>
  <si>
    <t>Dutch Bros CA2907</t>
  </si>
  <si>
    <t>Dutch Bros WA0902</t>
  </si>
  <si>
    <t>Christina</t>
  </si>
  <si>
    <t>Gonzales</t>
  </si>
  <si>
    <t>1Z1882X38797132444</t>
  </si>
  <si>
    <t>John Adams</t>
  </si>
  <si>
    <t>Dutch</t>
  </si>
  <si>
    <t>Bros</t>
  </si>
  <si>
    <t>Dutch Bros Store# CO0811</t>
  </si>
  <si>
    <t>Dutch Bros TX2901</t>
  </si>
  <si>
    <t>Dutch Bros NM0303</t>
  </si>
  <si>
    <t>Dutch Bros CA0804</t>
  </si>
  <si>
    <t>Achterhof</t>
  </si>
  <si>
    <t>Katy</t>
  </si>
  <si>
    <t>Hinton</t>
  </si>
  <si>
    <t>Olivia</t>
  </si>
  <si>
    <t>Manos</t>
  </si>
  <si>
    <t>Dutch Bros OK0406</t>
  </si>
  <si>
    <t>Konstantin</t>
  </si>
  <si>
    <t>Paskar</t>
  </si>
  <si>
    <t>Dutch Bros Store# CO0907</t>
  </si>
  <si>
    <t>Pennisi</t>
  </si>
  <si>
    <t>Lakisha Hopson</t>
  </si>
  <si>
    <t>1Z1882X38790798186</t>
  </si>
  <si>
    <t>Dutch Bros ID0604</t>
  </si>
  <si>
    <t>Dutch Bros TX0601</t>
  </si>
  <si>
    <t>1Z1882X38794924399</t>
  </si>
  <si>
    <t>Dutch Bros AZ1401</t>
  </si>
  <si>
    <t>Dutch Bros CA1905</t>
  </si>
  <si>
    <t>Reinhart</t>
  </si>
  <si>
    <t>Dutch Bros NM0103</t>
  </si>
  <si>
    <t>1Z1882X38794870723</t>
  </si>
  <si>
    <t>Dutch Bros CA4203</t>
  </si>
  <si>
    <t xml:space="preserve">Tessa </t>
  </si>
  <si>
    <t>Kopcha</t>
  </si>
  <si>
    <t>807-248-444</t>
  </si>
  <si>
    <t>Dutch Bros TX2101</t>
  </si>
  <si>
    <t>Jen</t>
  </si>
  <si>
    <t>Hong</t>
  </si>
  <si>
    <t>Dutch Bros Store# CA4108</t>
  </si>
  <si>
    <t>Dutch Bros #WA2601</t>
  </si>
  <si>
    <t>Dutch Bros WA1101</t>
  </si>
  <si>
    <t>Dutch Bros CO0901</t>
  </si>
  <si>
    <t>Dutch Bros Store# TN0703</t>
  </si>
  <si>
    <t>1Z1882X39093838022</t>
  </si>
  <si>
    <t>Dutch Bro's Store CA5002</t>
  </si>
  <si>
    <t>Dutch Bros OR3101</t>
  </si>
  <si>
    <t>Tennessee</t>
  </si>
  <si>
    <t>Hamer</t>
  </si>
  <si>
    <t>807-226-825</t>
  </si>
  <si>
    <t>Alex</t>
  </si>
  <si>
    <t>Pogue</t>
  </si>
  <si>
    <t>Dutch Bros CA3907</t>
  </si>
  <si>
    <t>Dutch Bros Store# CA6303</t>
  </si>
  <si>
    <t>Dutch Bros OR2703</t>
  </si>
  <si>
    <t>Dutch Bros CA2506</t>
  </si>
  <si>
    <t>Dutch Bros CO0302</t>
  </si>
  <si>
    <t>Dutch Bros WA1202</t>
  </si>
  <si>
    <t>Dutch Bros Store# AZ0624</t>
  </si>
  <si>
    <t>Maddee</t>
  </si>
  <si>
    <t>Phillips</t>
  </si>
  <si>
    <t>807-355-700</t>
  </si>
  <si>
    <t>Dutch Bros CA4201</t>
  </si>
  <si>
    <t>Manley</t>
  </si>
  <si>
    <t>Micah</t>
  </si>
  <si>
    <t>Duclos</t>
  </si>
  <si>
    <t>INC4847459</t>
  </si>
  <si>
    <t>INC4847458</t>
  </si>
  <si>
    <t>INC4847457</t>
  </si>
  <si>
    <t>INC4847456</t>
  </si>
  <si>
    <t>INC4847454</t>
  </si>
  <si>
    <t>INC4847453</t>
  </si>
  <si>
    <t>INC4847452</t>
  </si>
  <si>
    <t>INC4847451</t>
  </si>
  <si>
    <t>INC4847429</t>
  </si>
  <si>
    <t>INC4847428</t>
  </si>
  <si>
    <t>INC4847391</t>
  </si>
  <si>
    <t>INC4847390</t>
  </si>
  <si>
    <t>INC4847387</t>
  </si>
  <si>
    <t>INC4847386</t>
  </si>
  <si>
    <t>INC4847361</t>
  </si>
  <si>
    <t>INC4847362</t>
  </si>
  <si>
    <t>INC4847360</t>
  </si>
  <si>
    <t>INC4847358</t>
  </si>
  <si>
    <t>INC4847357</t>
  </si>
  <si>
    <t>INC4847356</t>
  </si>
  <si>
    <t>INC4847347</t>
  </si>
  <si>
    <t>INC4847343</t>
  </si>
  <si>
    <t>INC4847321</t>
  </si>
  <si>
    <t>INC4847319</t>
  </si>
  <si>
    <t>INC4847318</t>
  </si>
  <si>
    <t>INC4847314</t>
  </si>
  <si>
    <t>INC4847313</t>
  </si>
  <si>
    <t>INC4847299</t>
  </si>
  <si>
    <t>INC4847298</t>
  </si>
  <si>
    <t>INC4847296</t>
  </si>
  <si>
    <t>INC4847295</t>
  </si>
  <si>
    <t>INC4847290</t>
  </si>
  <si>
    <t>INC4847289</t>
  </si>
  <si>
    <t>INC4847285</t>
  </si>
  <si>
    <t>INC4847284</t>
  </si>
  <si>
    <t>INC4847282</t>
  </si>
  <si>
    <t>INC4847281</t>
  </si>
  <si>
    <t>INC4847272</t>
  </si>
  <si>
    <t>INC4847271</t>
  </si>
  <si>
    <t>INC4847270</t>
  </si>
  <si>
    <t>INC4847269</t>
  </si>
  <si>
    <t>INC4847260</t>
  </si>
  <si>
    <t>INC4847259</t>
  </si>
  <si>
    <t>INC4847243</t>
  </si>
  <si>
    <t>INC4847242</t>
  </si>
  <si>
    <t>INC4847241</t>
  </si>
  <si>
    <t>INC4847239</t>
  </si>
  <si>
    <t>INC4847238</t>
  </si>
  <si>
    <t>INC4847237</t>
  </si>
  <si>
    <t>INC4847236</t>
  </si>
  <si>
    <t>INC4847235</t>
  </si>
  <si>
    <t>INC4847233</t>
  </si>
  <si>
    <t>INC4847232</t>
  </si>
  <si>
    <t>INC4847230</t>
  </si>
  <si>
    <t>INC4847229</t>
  </si>
  <si>
    <t>INC4847228</t>
  </si>
  <si>
    <t>INC4847227</t>
  </si>
  <si>
    <t>INC4847226</t>
  </si>
  <si>
    <t>INC4847225</t>
  </si>
  <si>
    <t>INC4847224</t>
  </si>
  <si>
    <t>INC4847223</t>
  </si>
  <si>
    <t>INC4847222</t>
  </si>
  <si>
    <t>INC4847221</t>
  </si>
  <si>
    <t>INC4847220</t>
  </si>
  <si>
    <t>INC4847219</t>
  </si>
  <si>
    <t>INC4847217</t>
  </si>
  <si>
    <t>INC4847216</t>
  </si>
  <si>
    <t>INC4847213</t>
  </si>
  <si>
    <t>INC4847212</t>
  </si>
  <si>
    <t>INC4847206</t>
  </si>
  <si>
    <t>INC4847205</t>
  </si>
  <si>
    <t>INC4847198</t>
  </si>
  <si>
    <t>INC4847197</t>
  </si>
  <si>
    <t>INC4847183</t>
  </si>
  <si>
    <t>INC4847136</t>
  </si>
  <si>
    <t>INC4847135</t>
  </si>
  <si>
    <t>INC4847130</t>
  </si>
  <si>
    <t>INC4847122</t>
  </si>
  <si>
    <t>INC4847077</t>
  </si>
  <si>
    <t>INC4847076</t>
  </si>
  <si>
    <t>INC4847053</t>
  </si>
  <si>
    <t>INC4847052</t>
  </si>
  <si>
    <t>INC4847041</t>
  </si>
  <si>
    <t>INC4847040</t>
  </si>
  <si>
    <t>INC4847014</t>
  </si>
  <si>
    <t>INC4847013</t>
  </si>
  <si>
    <t>INC4847005</t>
  </si>
  <si>
    <t>INC4846996</t>
  </si>
  <si>
    <t>INC4846981</t>
  </si>
  <si>
    <t>INC4846985</t>
  </si>
  <si>
    <t>INC4846982</t>
  </si>
  <si>
    <t>INC4846966</t>
  </si>
  <si>
    <t>INC4846965</t>
  </si>
  <si>
    <t>INC4846943</t>
  </si>
  <si>
    <t>INC4846942</t>
  </si>
  <si>
    <t>INC4846932</t>
  </si>
  <si>
    <t>INC4846931</t>
  </si>
  <si>
    <t>INC4846918</t>
  </si>
  <si>
    <t>INC4846879</t>
  </si>
  <si>
    <t>INC4846855</t>
  </si>
  <si>
    <t>INC4846852</t>
  </si>
  <si>
    <t>INC4846817</t>
  </si>
  <si>
    <t>INC4846812</t>
  </si>
  <si>
    <t>INC4846767</t>
  </si>
  <si>
    <t>INC4846766</t>
  </si>
  <si>
    <t>INC4846701</t>
  </si>
  <si>
    <t>INC4846685</t>
  </si>
  <si>
    <t>INC4846679</t>
  </si>
  <si>
    <t>INC4846640</t>
  </si>
  <si>
    <t>INC4846531</t>
  </si>
  <si>
    <t>INC4846361</t>
  </si>
  <si>
    <t>INC4846460</t>
  </si>
  <si>
    <t>INC4846264</t>
  </si>
  <si>
    <t>INC4846294</t>
  </si>
  <si>
    <t>INC4846287</t>
  </si>
  <si>
    <t>CO0207</t>
  </si>
  <si>
    <t>INC4846219</t>
  </si>
  <si>
    <t>INC4846232</t>
  </si>
  <si>
    <t>INC4846231</t>
  </si>
  <si>
    <t>INC4846205</t>
  </si>
  <si>
    <t>INC4846204</t>
  </si>
  <si>
    <t>INC4846177</t>
  </si>
  <si>
    <t>INC4846176</t>
  </si>
  <si>
    <t>INC4846154</t>
  </si>
  <si>
    <t>INC4846114</t>
  </si>
  <si>
    <t>INC4846066</t>
  </si>
  <si>
    <t>INC4846103</t>
  </si>
  <si>
    <t>INC4846102</t>
  </si>
  <si>
    <t>INC4846062</t>
  </si>
  <si>
    <t>TX3401</t>
  </si>
  <si>
    <t>INC4846035</t>
  </si>
  <si>
    <t>INC4845828</t>
  </si>
  <si>
    <t>INC4845823</t>
  </si>
  <si>
    <t>INC4845783</t>
  </si>
  <si>
    <t>INC4845782</t>
  </si>
  <si>
    <t>INC4845781</t>
  </si>
  <si>
    <t>INC4845780</t>
  </si>
  <si>
    <t>INC4845772</t>
  </si>
  <si>
    <t>INC4845770</t>
  </si>
  <si>
    <t>INC4845769</t>
  </si>
  <si>
    <t>INC4845768</t>
  </si>
  <si>
    <t>INC4845587</t>
  </si>
  <si>
    <t>CA1211</t>
  </si>
  <si>
    <t>INC4845537</t>
  </si>
  <si>
    <t>INC4845494</t>
  </si>
  <si>
    <t>INC4845476</t>
  </si>
  <si>
    <t>INC4845450</t>
  </si>
  <si>
    <t>INC4845357</t>
  </si>
  <si>
    <t>INC4845202</t>
  </si>
  <si>
    <t>INC4845122</t>
  </si>
  <si>
    <t>INC4845121</t>
  </si>
  <si>
    <t>INC4845119</t>
  </si>
  <si>
    <t>INC4845118</t>
  </si>
  <si>
    <t>INC4844981</t>
  </si>
  <si>
    <t>INC4844980</t>
  </si>
  <si>
    <t>INC4844978</t>
  </si>
  <si>
    <t>INC4844977</t>
  </si>
  <si>
    <t>INC4844976</t>
  </si>
  <si>
    <t>INC4844970</t>
  </si>
  <si>
    <t>INC4844969</t>
  </si>
  <si>
    <t>INC4844968</t>
  </si>
  <si>
    <t>INC4844967</t>
  </si>
  <si>
    <t>INC4844966</t>
  </si>
  <si>
    <t>INC4844964</t>
  </si>
  <si>
    <t>INC4844965</t>
  </si>
  <si>
    <t>INC4844751</t>
  </si>
  <si>
    <t>INC4844750</t>
  </si>
  <si>
    <t>INC4844749</t>
  </si>
  <si>
    <t>INC4844748</t>
  </si>
  <si>
    <t>INC4844747</t>
  </si>
  <si>
    <t>INC4844746</t>
  </si>
  <si>
    <t>INC4844670</t>
  </si>
  <si>
    <t>INC4844654</t>
  </si>
  <si>
    <t>INC4844679</t>
  </si>
  <si>
    <t>INC4844678</t>
  </si>
  <si>
    <t>INC4844677</t>
  </si>
  <si>
    <t>INC4844675</t>
  </si>
  <si>
    <t>INC4844628</t>
  </si>
  <si>
    <t>INC4844627</t>
  </si>
  <si>
    <t>INC4844472</t>
  </si>
  <si>
    <t>INC4844421</t>
  </si>
  <si>
    <t>INC4844414</t>
  </si>
  <si>
    <t>INC4844255</t>
  </si>
  <si>
    <t>INC4844253</t>
  </si>
  <si>
    <t>INC4844248</t>
  </si>
  <si>
    <t>INC4844211</t>
  </si>
  <si>
    <t>INC4844189</t>
  </si>
  <si>
    <t>INC4844185</t>
  </si>
  <si>
    <t>INC4844101</t>
  </si>
  <si>
    <t>INC4844100</t>
  </si>
  <si>
    <t>INC4844099</t>
  </si>
  <si>
    <t>INC4844094</t>
  </si>
  <si>
    <t>INC4844041</t>
  </si>
  <si>
    <t>INC4844039</t>
  </si>
  <si>
    <t>INC4844038</t>
  </si>
  <si>
    <t>INC4844037</t>
  </si>
  <si>
    <t>INC4843961</t>
  </si>
  <si>
    <t>INC4843953</t>
  </si>
  <si>
    <t>INC4843950</t>
  </si>
  <si>
    <t>INC4843942</t>
  </si>
  <si>
    <t>INC4843914</t>
  </si>
  <si>
    <t>INC4843913</t>
  </si>
  <si>
    <t>INC4843912</t>
  </si>
  <si>
    <t>INC4843911</t>
  </si>
  <si>
    <t>INC4843791</t>
  </si>
  <si>
    <t>INC4843790</t>
  </si>
  <si>
    <t>INC4843727</t>
  </si>
  <si>
    <t>INC4843725</t>
  </si>
  <si>
    <t>INC4843403</t>
  </si>
  <si>
    <t>INC4843397</t>
  </si>
  <si>
    <t>INC4843205</t>
  </si>
  <si>
    <t>INC4843204</t>
  </si>
  <si>
    <t>INC4843178</t>
  </si>
  <si>
    <t>INC4843008</t>
  </si>
  <si>
    <t>CA5803</t>
  </si>
  <si>
    <t>INC4842979</t>
  </si>
  <si>
    <t>INC4842978</t>
  </si>
  <si>
    <t>INC4842970</t>
  </si>
  <si>
    <t>INC4842955</t>
  </si>
  <si>
    <t>INC4842954</t>
  </si>
  <si>
    <t>INC4842953</t>
  </si>
  <si>
    <t>INC4842952</t>
  </si>
  <si>
    <t>INC4842951</t>
  </si>
  <si>
    <t>INC4842939</t>
  </si>
  <si>
    <t>INC4842866</t>
  </si>
  <si>
    <t>INC4842865</t>
  </si>
  <si>
    <t>INC4842863</t>
  </si>
  <si>
    <t>INC4842855</t>
  </si>
  <si>
    <t>INC4842788</t>
  </si>
  <si>
    <t>INC4842786</t>
  </si>
  <si>
    <t>INC4842756</t>
  </si>
  <si>
    <t>INC4842728</t>
  </si>
  <si>
    <t>INC4842720</t>
  </si>
  <si>
    <t>INC4842515</t>
  </si>
  <si>
    <t>INC4842509</t>
  </si>
  <si>
    <t>INC4842473</t>
  </si>
  <si>
    <t>INC4842472</t>
  </si>
  <si>
    <t>INC4842248</t>
  </si>
  <si>
    <t>INC4842176</t>
  </si>
  <si>
    <t>INC4842177</t>
  </si>
  <si>
    <t>INC4842141</t>
  </si>
  <si>
    <t>INC4842125</t>
  </si>
  <si>
    <t>INC4842116</t>
  </si>
  <si>
    <t>INC4842108</t>
  </si>
  <si>
    <t>INC4842018</t>
  </si>
  <si>
    <t>INC4842017</t>
  </si>
  <si>
    <t>INC4841990</t>
  </si>
  <si>
    <t>INC4841975</t>
  </si>
  <si>
    <t>INC4841974</t>
  </si>
  <si>
    <t>INC4841973</t>
  </si>
  <si>
    <t>INC4841971</t>
  </si>
  <si>
    <t>INC4841970</t>
  </si>
  <si>
    <t>INC4841969</t>
  </si>
  <si>
    <t>INC4841872</t>
  </si>
  <si>
    <t>INC4841871</t>
  </si>
  <si>
    <t>INC4841866</t>
  </si>
  <si>
    <t>INC4841865</t>
  </si>
  <si>
    <t>INC4841862</t>
  </si>
  <si>
    <t>INC4841863</t>
  </si>
  <si>
    <t>INC4841822</t>
  </si>
  <si>
    <t>INC4841820</t>
  </si>
  <si>
    <t>INC4841819</t>
  </si>
  <si>
    <t>INC4841794</t>
  </si>
  <si>
    <t>INC4841793</t>
  </si>
  <si>
    <t>INC4841789</t>
  </si>
  <si>
    <t>INC4841788</t>
  </si>
  <si>
    <t>INC4841787</t>
  </si>
  <si>
    <t>INC4841785</t>
  </si>
  <si>
    <t>INC4841774</t>
  </si>
  <si>
    <t>INC4841773</t>
  </si>
  <si>
    <t>INC4841763</t>
  </si>
  <si>
    <t>INC4841762</t>
  </si>
  <si>
    <t>INC4841757</t>
  </si>
  <si>
    <t>INC4841756</t>
  </si>
  <si>
    <t>INC4841666</t>
  </si>
  <si>
    <t>INC4841665</t>
  </si>
  <si>
    <t>INC4841664</t>
  </si>
  <si>
    <t>INC4841663</t>
  </si>
  <si>
    <t>INC4841643</t>
  </si>
  <si>
    <t>INC4841475</t>
  </si>
  <si>
    <t>INC4841474</t>
  </si>
  <si>
    <t>INC4841458</t>
  </si>
  <si>
    <t>INC4841457</t>
  </si>
  <si>
    <t>INC4841382</t>
  </si>
  <si>
    <t>INC4841381</t>
  </si>
  <si>
    <t>INC4841380</t>
  </si>
  <si>
    <t>INC4841379</t>
  </si>
  <si>
    <t>INC4841377</t>
  </si>
  <si>
    <t>INC4841378</t>
  </si>
  <si>
    <t>INC4841373</t>
  </si>
  <si>
    <t>INC4841372</t>
  </si>
  <si>
    <t>INC4841365</t>
  </si>
  <si>
    <t>INC4841362</t>
  </si>
  <si>
    <t>INC4841355</t>
  </si>
  <si>
    <t>INC4841354</t>
  </si>
  <si>
    <t>INC4841348</t>
  </si>
  <si>
    <t>INC4841343</t>
  </si>
  <si>
    <t>INC4841338</t>
  </si>
  <si>
    <t>INC4841273</t>
  </si>
  <si>
    <t>INC4841269</t>
  </si>
  <si>
    <t>INC4841261</t>
  </si>
  <si>
    <t>INC4841258</t>
  </si>
  <si>
    <t>INC4841194</t>
  </si>
  <si>
    <t>INC4841193</t>
  </si>
  <si>
    <t>INC4841192</t>
  </si>
  <si>
    <t>INC4841191</t>
  </si>
  <si>
    <t>INC4841175</t>
  </si>
  <si>
    <t>INC4841160</t>
  </si>
  <si>
    <t>INC4841134</t>
  </si>
  <si>
    <t>INC4841133</t>
  </si>
  <si>
    <t>INC4841131</t>
  </si>
  <si>
    <t>INC4841130</t>
  </si>
  <si>
    <t>INC4841129</t>
  </si>
  <si>
    <t>INC4841127</t>
  </si>
  <si>
    <t>INC4841126</t>
  </si>
  <si>
    <t>INC4841125</t>
  </si>
  <si>
    <t>INC4841124</t>
  </si>
  <si>
    <t>INC4841123</t>
  </si>
  <si>
    <t>INC4841122</t>
  </si>
  <si>
    <t>INC4841082</t>
  </si>
  <si>
    <t>INC4841076</t>
  </si>
  <si>
    <t>INC4841075</t>
  </si>
  <si>
    <t>INC4841073</t>
  </si>
  <si>
    <t>INC4841059</t>
  </si>
  <si>
    <t>INC4841058</t>
  </si>
  <si>
    <t>INC4841057</t>
  </si>
  <si>
    <t>INC4841056</t>
  </si>
  <si>
    <t>INC4841045</t>
  </si>
  <si>
    <t>INC4841043</t>
  </si>
  <si>
    <t>INC4841030</t>
  </si>
  <si>
    <t>INC4841027</t>
  </si>
  <si>
    <t>INC4841005</t>
  </si>
  <si>
    <t>INC4840954</t>
  </si>
  <si>
    <t>INC4840807</t>
  </si>
  <si>
    <t>INC4840806</t>
  </si>
  <si>
    <t>INC4840791</t>
  </si>
  <si>
    <t>INC4840725</t>
  </si>
  <si>
    <t>INC4840724</t>
  </si>
  <si>
    <t>INC4840723</t>
  </si>
  <si>
    <t>INC4840722</t>
  </si>
  <si>
    <t>INC4840721</t>
  </si>
  <si>
    <t>INC4840719</t>
  </si>
  <si>
    <t>INC4840657</t>
  </si>
  <si>
    <t>INC4840654</t>
  </si>
  <si>
    <t>INC4840630</t>
  </si>
  <si>
    <t>INC4840629</t>
  </si>
  <si>
    <t>INC4840623</t>
  </si>
  <si>
    <t>INC4840570</t>
  </si>
  <si>
    <t>INC4840569</t>
  </si>
  <si>
    <t>INC4840568</t>
  </si>
  <si>
    <t>INC4840567</t>
  </si>
  <si>
    <t>INC4840561</t>
  </si>
  <si>
    <t>INC4840557</t>
  </si>
  <si>
    <t>INC4840443</t>
  </si>
  <si>
    <t>INC4840439</t>
  </si>
  <si>
    <t>INC4840438</t>
  </si>
  <si>
    <t>INC4840435</t>
  </si>
  <si>
    <t>INC4840433</t>
  </si>
  <si>
    <t>INC4840412</t>
  </si>
  <si>
    <t>INC4840408</t>
  </si>
  <si>
    <t>INC4840302</t>
  </si>
  <si>
    <t>INC4840301</t>
  </si>
  <si>
    <t>INC4840300</t>
  </si>
  <si>
    <t>INC4840299</t>
  </si>
  <si>
    <t>INC4840297</t>
  </si>
  <si>
    <t>INC4840298</t>
  </si>
  <si>
    <t>INC4840296</t>
  </si>
  <si>
    <t>INC4840295</t>
  </si>
  <si>
    <t>INC4840236</t>
  </si>
  <si>
    <t>INC4840235</t>
  </si>
  <si>
    <t>INC4840203</t>
  </si>
  <si>
    <t>INC4840201</t>
  </si>
  <si>
    <t>INC4840132</t>
  </si>
  <si>
    <t>INC4840131</t>
  </si>
  <si>
    <t>INC4840113</t>
  </si>
  <si>
    <t>INC4840112</t>
  </si>
  <si>
    <t>INC4840012</t>
  </si>
  <si>
    <t>INC4840010</t>
  </si>
  <si>
    <t>INC4840011</t>
  </si>
  <si>
    <t>INC4840009</t>
  </si>
  <si>
    <t>INC4839970</t>
  </si>
  <si>
    <t>INC4839969</t>
  </si>
  <si>
    <t>INC4839967</t>
  </si>
  <si>
    <t>INC4839966</t>
  </si>
  <si>
    <t>INC4839953</t>
  </si>
  <si>
    <t>INC4839950</t>
  </si>
  <si>
    <t>INC4839939</t>
  </si>
  <si>
    <t>INC4839932</t>
  </si>
  <si>
    <t>INC4839896</t>
  </si>
  <si>
    <t>INC4839893</t>
  </si>
  <si>
    <t>INC4839892</t>
  </si>
  <si>
    <t>INC4839891</t>
  </si>
  <si>
    <t>INC4839890</t>
  </si>
  <si>
    <t>INC4839889</t>
  </si>
  <si>
    <t>INC4839888</t>
  </si>
  <si>
    <t>INC4839887</t>
  </si>
  <si>
    <t>INC4839886</t>
  </si>
  <si>
    <t>INC4839885</t>
  </si>
  <si>
    <t>INC4839884</t>
  </si>
  <si>
    <t>INC4839883</t>
  </si>
  <si>
    <t>INC4839882</t>
  </si>
  <si>
    <t>INC4839881</t>
  </si>
  <si>
    <t>INC4839879</t>
  </si>
  <si>
    <t>INC4839877</t>
  </si>
  <si>
    <t>INC4839876</t>
  </si>
  <si>
    <t>INC4839848</t>
  </si>
  <si>
    <t>INC4839847</t>
  </si>
  <si>
    <t>INC4839846</t>
  </si>
  <si>
    <t>INC4839845</t>
  </si>
  <si>
    <t>INC4839842</t>
  </si>
  <si>
    <t>INC4839841</t>
  </si>
  <si>
    <t>INC4839822</t>
  </si>
  <si>
    <t>INC4839811</t>
  </si>
  <si>
    <t>INC4839784</t>
  </si>
  <si>
    <t>INC4839708</t>
  </si>
  <si>
    <t>INC4839627</t>
  </si>
  <si>
    <t>INC4839649</t>
  </si>
  <si>
    <t>INC4839590</t>
  </si>
  <si>
    <t>INC4839589</t>
  </si>
  <si>
    <t>INC4839579</t>
  </si>
  <si>
    <t>INC4839545</t>
  </si>
  <si>
    <t>INC4839474</t>
  </si>
  <si>
    <t>INC4839448</t>
  </si>
  <si>
    <t>INC4839447</t>
  </si>
  <si>
    <t>INC4839435</t>
  </si>
  <si>
    <t>INC4839433</t>
  </si>
  <si>
    <t>INC4839432</t>
  </si>
  <si>
    <t>INC4839431</t>
  </si>
  <si>
    <t>INC4839430</t>
  </si>
  <si>
    <t>INC4839429</t>
  </si>
  <si>
    <t>INC4839428</t>
  </si>
  <si>
    <t>INC4839417</t>
  </si>
  <si>
    <t>INC4839416</t>
  </si>
  <si>
    <t>INC4839415</t>
  </si>
  <si>
    <t>INC4839334</t>
  </si>
  <si>
    <t>INC4839332</t>
  </si>
  <si>
    <t>INC4839331</t>
  </si>
  <si>
    <t>INC4839330</t>
  </si>
  <si>
    <t>INC4839329</t>
  </si>
  <si>
    <t>INC4839328</t>
  </si>
  <si>
    <t>INC4839326</t>
  </si>
  <si>
    <t>INC4839324</t>
  </si>
  <si>
    <t>INC4839323</t>
  </si>
  <si>
    <t>INC4839322</t>
  </si>
  <si>
    <t>INC4839320</t>
  </si>
  <si>
    <t>INC4839321</t>
  </si>
  <si>
    <t>INC4839317</t>
  </si>
  <si>
    <t>INC4839318</t>
  </si>
  <si>
    <t>INC4839316</t>
  </si>
  <si>
    <t>INC4839315</t>
  </si>
  <si>
    <t>INC4839313</t>
  </si>
  <si>
    <t>INC4839314</t>
  </si>
  <si>
    <t>INC4839310</t>
  </si>
  <si>
    <t>INC4839309</t>
  </si>
  <si>
    <t>INC4839308</t>
  </si>
  <si>
    <t>INC4839307</t>
  </si>
  <si>
    <t>INC4839304</t>
  </si>
  <si>
    <t>INC4839305</t>
  </si>
  <si>
    <t>INC4839301</t>
  </si>
  <si>
    <t>INC4839302</t>
  </si>
  <si>
    <t>INC4839300</t>
  </si>
  <si>
    <t>INC4839299</t>
  </si>
  <si>
    <t>INC4839244</t>
  </si>
  <si>
    <t>INC4839190</t>
  </si>
  <si>
    <t>INC4839184</t>
  </si>
  <si>
    <t>INC4839145</t>
  </si>
  <si>
    <t>INC4839133</t>
  </si>
  <si>
    <t>INC4839128</t>
  </si>
  <si>
    <t>INC4839105</t>
  </si>
  <si>
    <t>Dutch Bros -- Hardware -- iPad 10.2 -- Will Not Power On</t>
  </si>
  <si>
    <t>INC4839119</t>
  </si>
  <si>
    <t>INC4839113</t>
  </si>
  <si>
    <t>INC4839104</t>
  </si>
  <si>
    <t>INC4839103</t>
  </si>
  <si>
    <t>INC4839052</t>
  </si>
  <si>
    <t>INC4839036</t>
  </si>
  <si>
    <t>INC4839015</t>
  </si>
  <si>
    <t>INC4839014</t>
  </si>
  <si>
    <t>INC4839011</t>
  </si>
  <si>
    <t>INC4838999</t>
  </si>
  <si>
    <t>INC4838971</t>
  </si>
  <si>
    <t>INC4838946</t>
  </si>
  <si>
    <t>INC4838934</t>
  </si>
  <si>
    <t>INC4838929</t>
  </si>
  <si>
    <t>INC4838866</t>
  </si>
  <si>
    <t>INC4838831</t>
  </si>
  <si>
    <t>INC4838791</t>
  </si>
  <si>
    <t>INC4838790</t>
  </si>
  <si>
    <t>INC4838783</t>
  </si>
  <si>
    <t>INC4838778</t>
  </si>
  <si>
    <t>INC4838777</t>
  </si>
  <si>
    <t>INC4838775</t>
  </si>
  <si>
    <t>INC4838773</t>
  </si>
  <si>
    <t>INC4838767</t>
  </si>
  <si>
    <t>INC4838707</t>
  </si>
  <si>
    <t>INC4838676</t>
  </si>
  <si>
    <t>OR2003</t>
  </si>
  <si>
    <t>INC4838674</t>
  </si>
  <si>
    <t>INC4838659</t>
  </si>
  <si>
    <t>INC4838658</t>
  </si>
  <si>
    <t>INC4838647</t>
  </si>
  <si>
    <t>INC4838616</t>
  </si>
  <si>
    <t>INC4838573</t>
  </si>
  <si>
    <t>INC4838474</t>
  </si>
  <si>
    <t>INC4838438</t>
  </si>
  <si>
    <t>INC4838419</t>
  </si>
  <si>
    <t>INC4838359</t>
  </si>
  <si>
    <t>INC4838357</t>
  </si>
  <si>
    <t>AZ0618</t>
  </si>
  <si>
    <t>INC4838341</t>
  </si>
  <si>
    <t>INC4838344</t>
  </si>
  <si>
    <t>INC4838347</t>
  </si>
  <si>
    <t>INC4838346</t>
  </si>
  <si>
    <t>INC4838326</t>
  </si>
  <si>
    <t>INC4838296</t>
  </si>
  <si>
    <t>INC4838295</t>
  </si>
  <si>
    <t>INC4838294</t>
  </si>
  <si>
    <t>INC4838288</t>
  </si>
  <si>
    <t>INC4838287</t>
  </si>
  <si>
    <t>INC4838272</t>
  </si>
  <si>
    <t>DB-101e</t>
  </si>
  <si>
    <t>INC4838283</t>
  </si>
  <si>
    <t>INC4838279</t>
  </si>
  <si>
    <t>INC4838277</t>
  </si>
  <si>
    <t>INC4838270</t>
  </si>
  <si>
    <t>INC4838266</t>
  </si>
  <si>
    <t>INC4838262</t>
  </si>
  <si>
    <t>INC4838258</t>
  </si>
  <si>
    <t>INC4838238</t>
  </si>
  <si>
    <t>INC4838252</t>
  </si>
  <si>
    <t>INC4838256</t>
  </si>
  <si>
    <t>INC4838253</t>
  </si>
  <si>
    <t>INC4838244</t>
  </si>
  <si>
    <t>tx3202</t>
  </si>
  <si>
    <t>INC4838237</t>
  </si>
  <si>
    <t>HN TX1002</t>
  </si>
  <si>
    <t>INC4838234</t>
  </si>
  <si>
    <t>INC4838233</t>
  </si>
  <si>
    <t>INC4838230</t>
  </si>
  <si>
    <t>INC4838224</t>
  </si>
  <si>
    <t>INC4838223</t>
  </si>
  <si>
    <t>INC4838222</t>
  </si>
  <si>
    <t>INC4838219</t>
  </si>
  <si>
    <t>INC4838209</t>
  </si>
  <si>
    <t>INC4838208</t>
  </si>
  <si>
    <t>INC4838207</t>
  </si>
  <si>
    <t>INC4838201</t>
  </si>
  <si>
    <t>INC4838195</t>
  </si>
  <si>
    <t>INC4838196</t>
  </si>
  <si>
    <t>INC4838184</t>
  </si>
  <si>
    <t>INC4838182</t>
  </si>
  <si>
    <t>INC4838179</t>
  </si>
  <si>
    <t>INC4838178</t>
  </si>
  <si>
    <t>INC4838176</t>
  </si>
  <si>
    <t>INC4838174</t>
  </si>
  <si>
    <t>INC4838172</t>
  </si>
  <si>
    <t>INC4838163</t>
  </si>
  <si>
    <t>INC4838167</t>
  </si>
  <si>
    <t>INC4838161</t>
  </si>
  <si>
    <t>AO LA0202</t>
  </si>
  <si>
    <t>INC4838157</t>
  </si>
  <si>
    <t>INC4838132</t>
  </si>
  <si>
    <t>INC4838128</t>
  </si>
  <si>
    <t>INC4838127</t>
  </si>
  <si>
    <t>INC4838126</t>
  </si>
  <si>
    <t>INC4838125</t>
  </si>
  <si>
    <t>INC4838122</t>
  </si>
  <si>
    <t>INC4838120</t>
  </si>
  <si>
    <t>INC4838115</t>
  </si>
  <si>
    <t>INC4838116</t>
  </si>
  <si>
    <t>INC4838114</t>
  </si>
  <si>
    <t>INC4838110</t>
  </si>
  <si>
    <t>INC4838107</t>
  </si>
  <si>
    <t>INC4838103</t>
  </si>
  <si>
    <t>INC4838101</t>
  </si>
  <si>
    <t>INC4838102</t>
  </si>
  <si>
    <t>INC4838094</t>
  </si>
  <si>
    <t>INC4838093</t>
  </si>
  <si>
    <t>INC4838090</t>
  </si>
  <si>
    <t>INC4838089</t>
  </si>
  <si>
    <t>INC4838081</t>
  </si>
  <si>
    <t>INC4838073</t>
  </si>
  <si>
    <t>INC4838063</t>
  </si>
  <si>
    <t>INC4838064</t>
  </si>
  <si>
    <t>CO1401</t>
  </si>
  <si>
    <t>INC4838051</t>
  </si>
  <si>
    <t>INC4838037</t>
  </si>
  <si>
    <t>INC4838024</t>
  </si>
  <si>
    <t>INC4838012</t>
  </si>
  <si>
    <t>INC4838004</t>
  </si>
  <si>
    <t>INC4837998</t>
  </si>
  <si>
    <t>INC4837996</t>
  </si>
  <si>
    <t>INC4837994</t>
  </si>
  <si>
    <t>INC4837995</t>
  </si>
  <si>
    <t>INC4837986</t>
  </si>
  <si>
    <t>INC4837984</t>
  </si>
  <si>
    <t>INC4837985</t>
  </si>
  <si>
    <t>INC4837983</t>
  </si>
  <si>
    <t>INC4837973</t>
  </si>
  <si>
    <t>INC4837967</t>
  </si>
  <si>
    <t>INC4837961</t>
  </si>
  <si>
    <t>INC4837951</t>
  </si>
  <si>
    <t>INC4837946</t>
  </si>
  <si>
    <t>INC4837947</t>
  </si>
  <si>
    <t>INC4837944</t>
  </si>
  <si>
    <t>INC4837935</t>
  </si>
  <si>
    <t>INC4837932</t>
  </si>
  <si>
    <t>INC4837930</t>
  </si>
  <si>
    <t>INC4837928</t>
  </si>
  <si>
    <t>INC4837921</t>
  </si>
  <si>
    <t>INC4837915</t>
  </si>
  <si>
    <t>INC4837914</t>
  </si>
  <si>
    <t>INC4837913</t>
  </si>
  <si>
    <t>INC4837905</t>
  </si>
  <si>
    <t>INC4837910</t>
  </si>
  <si>
    <t>INC4837904</t>
  </si>
  <si>
    <t>INC4837903</t>
  </si>
  <si>
    <t>INC4837900</t>
  </si>
  <si>
    <t>INC4837893</t>
  </si>
  <si>
    <t>INC4837885</t>
  </si>
  <si>
    <t>Dutch Bros -- Hardware -- Accessory/Extra Equipment -- Requesting Extra Equipment</t>
  </si>
  <si>
    <t>Requesting Extra Equipment</t>
  </si>
  <si>
    <t>Need Extra Equipment</t>
  </si>
  <si>
    <t>INC4837894</t>
  </si>
  <si>
    <t>INC4837872</t>
  </si>
  <si>
    <t>INC4837892</t>
  </si>
  <si>
    <t>INC4837887</t>
  </si>
  <si>
    <t>INC4837882</t>
  </si>
  <si>
    <t>INC4837884</t>
  </si>
  <si>
    <t>INC4837883</t>
  </si>
  <si>
    <t>INC4837870</t>
  </si>
  <si>
    <t>INC4837862</t>
  </si>
  <si>
    <t>INC4837833</t>
  </si>
  <si>
    <t>INC4837852</t>
  </si>
  <si>
    <t>INC4837849</t>
  </si>
  <si>
    <t>INC4837835</t>
  </si>
  <si>
    <t>INC4837832</t>
  </si>
  <si>
    <t>INC4837824</t>
  </si>
  <si>
    <t>INC4837826</t>
  </si>
  <si>
    <t>INC4837809</t>
  </si>
  <si>
    <t>DutchBros000000000</t>
  </si>
  <si>
    <t>INC4837823</t>
  </si>
  <si>
    <t>INC4837814</t>
  </si>
  <si>
    <t>INC4837818</t>
  </si>
  <si>
    <t>INC4837817</t>
  </si>
  <si>
    <t>INC4837816</t>
  </si>
  <si>
    <t>INC4837793</t>
  </si>
  <si>
    <t>INC4837781</t>
  </si>
  <si>
    <t>INC4837774</t>
  </si>
  <si>
    <t>INC4837806</t>
  </si>
  <si>
    <t>INC4837772</t>
  </si>
  <si>
    <t>INC4837768</t>
  </si>
  <si>
    <t>INC4837765</t>
  </si>
  <si>
    <t>NM0403</t>
  </si>
  <si>
    <t>INC4837754</t>
  </si>
  <si>
    <t>INC4837751</t>
  </si>
  <si>
    <t>INC4837749</t>
  </si>
  <si>
    <t>INC4837740</t>
  </si>
  <si>
    <t>INC4837737</t>
  </si>
  <si>
    <t>INC4837738</t>
  </si>
  <si>
    <t>INC4837733</t>
  </si>
  <si>
    <t>INC4837721</t>
  </si>
  <si>
    <t>INC4837711</t>
  </si>
  <si>
    <t>INC4837701</t>
  </si>
  <si>
    <t>INC4837700</t>
  </si>
  <si>
    <t>INC4837675</t>
  </si>
  <si>
    <t>INC4837616</t>
  </si>
  <si>
    <t>INC4837611</t>
  </si>
  <si>
    <t>INC4837589</t>
  </si>
  <si>
    <t>INC4837594</t>
  </si>
  <si>
    <t>INC4837593</t>
  </si>
  <si>
    <t>INC4837591</t>
  </si>
  <si>
    <t>INC4837580</t>
  </si>
  <si>
    <t>INC4837569</t>
  </si>
  <si>
    <t>INC4837560</t>
  </si>
  <si>
    <t>INC4837548</t>
  </si>
  <si>
    <t>INC4837449</t>
  </si>
  <si>
    <t>INC4837537</t>
  </si>
  <si>
    <t>INC4837532</t>
  </si>
  <si>
    <t>INC4837510</t>
  </si>
  <si>
    <t>WA0702</t>
  </si>
  <si>
    <t>INC4837508</t>
  </si>
  <si>
    <t>INC4837488</t>
  </si>
  <si>
    <t>INC4837474</t>
  </si>
  <si>
    <t>INC4837410</t>
  </si>
  <si>
    <t>INC4837403</t>
  </si>
  <si>
    <t>INC4837363</t>
  </si>
  <si>
    <t>INC4837315</t>
  </si>
  <si>
    <t>INC4837326</t>
  </si>
  <si>
    <t>INC4837325</t>
  </si>
  <si>
    <t>INC4837324</t>
  </si>
  <si>
    <t>INC4837240</t>
  </si>
  <si>
    <t>INC4837216</t>
  </si>
  <si>
    <t>TX2204</t>
  </si>
  <si>
    <t>INC4837032</t>
  </si>
  <si>
    <t>INC4836959</t>
  </si>
  <si>
    <t>INC4836965</t>
  </si>
  <si>
    <t>INC4836827</t>
  </si>
  <si>
    <t>INC4836826</t>
  </si>
  <si>
    <t>INC4836825</t>
  </si>
  <si>
    <t>INC4836716</t>
  </si>
  <si>
    <t>INC4836715</t>
  </si>
  <si>
    <t>INC4836714</t>
  </si>
  <si>
    <t>INC4836684</t>
  </si>
  <si>
    <t>INC4836536</t>
  </si>
  <si>
    <t>INC4836580</t>
  </si>
  <si>
    <t>INC4836535</t>
  </si>
  <si>
    <t>INC4836518</t>
  </si>
  <si>
    <t>Dutch Bros -- Software -- Navco -- Request to View Security Cameras Remotely</t>
  </si>
  <si>
    <t>Request to View Security Cameras Remotel</t>
  </si>
  <si>
    <t>Unable to View Cameras Remotley</t>
  </si>
  <si>
    <t>iPad mini</t>
  </si>
  <si>
    <t>INC4836483</t>
  </si>
  <si>
    <t>INC4836199</t>
  </si>
  <si>
    <t>INC4836114</t>
  </si>
  <si>
    <t>Dutch Bros -- Software -- Deputy -- Application Missing</t>
  </si>
  <si>
    <t>Application Missing</t>
  </si>
  <si>
    <t>ID0903</t>
  </si>
  <si>
    <t>INC4836100</t>
  </si>
  <si>
    <t>INC4836087</t>
  </si>
  <si>
    <t>INC4836083</t>
  </si>
  <si>
    <t>INC4836062</t>
  </si>
  <si>
    <t>INC4836017</t>
  </si>
  <si>
    <t>INC4836009</t>
  </si>
  <si>
    <t>INC4836001</t>
  </si>
  <si>
    <t>INC4835975</t>
  </si>
  <si>
    <t>INC4835956</t>
  </si>
  <si>
    <t>INC4835942</t>
  </si>
  <si>
    <t>INC4835938</t>
  </si>
  <si>
    <t>INC4835921</t>
  </si>
  <si>
    <t>INC4835889</t>
  </si>
  <si>
    <t>INC4835850</t>
  </si>
  <si>
    <t>INC4835801</t>
  </si>
  <si>
    <t>INC4835754</t>
  </si>
  <si>
    <t>INC4835746</t>
  </si>
  <si>
    <t>INC4835700</t>
  </si>
  <si>
    <t>INC4835707</t>
  </si>
  <si>
    <t>INC4835706</t>
  </si>
  <si>
    <t>INC4835620</t>
  </si>
  <si>
    <t>INC4835573</t>
  </si>
  <si>
    <t>INC4835516</t>
  </si>
  <si>
    <t>INC4835499</t>
  </si>
  <si>
    <t>INC4835267</t>
  </si>
  <si>
    <t>CA1803</t>
  </si>
  <si>
    <t>INC4835273</t>
  </si>
  <si>
    <t>INC4835272</t>
  </si>
  <si>
    <t>INC4835271</t>
  </si>
  <si>
    <t>INC4835198</t>
  </si>
  <si>
    <t>Dutch_Bros_0000001</t>
  </si>
  <si>
    <t>INC4835248</t>
  </si>
  <si>
    <t>OR0705</t>
  </si>
  <si>
    <t>INC4835191</t>
  </si>
  <si>
    <t>INC4835132</t>
  </si>
  <si>
    <t>INC4835129</t>
  </si>
  <si>
    <t>INC4835110</t>
  </si>
  <si>
    <t>INC4835109</t>
  </si>
  <si>
    <t>INC4835041</t>
  </si>
  <si>
    <t>INC4835015</t>
  </si>
  <si>
    <t>INC4834880</t>
  </si>
  <si>
    <t>NV0405</t>
  </si>
  <si>
    <t>INC4834881</t>
  </si>
  <si>
    <t>INC4834845</t>
  </si>
  <si>
    <t>INC4834837</t>
  </si>
  <si>
    <t>INC4834806</t>
  </si>
  <si>
    <t>CO0305</t>
  </si>
  <si>
    <t>INC4834792</t>
  </si>
  <si>
    <t>INC4834771</t>
  </si>
  <si>
    <t>INC4834766</t>
  </si>
  <si>
    <t>INC4834741</t>
  </si>
  <si>
    <t>INC4834667</t>
  </si>
  <si>
    <t>AC NM0401</t>
  </si>
  <si>
    <t>INC4834656</t>
  </si>
  <si>
    <t>CA2502</t>
  </si>
  <si>
    <t>INC4834638</t>
  </si>
  <si>
    <t>INC4834625</t>
  </si>
  <si>
    <t>INC4834575</t>
  </si>
  <si>
    <t>INC4834565</t>
  </si>
  <si>
    <t>AL0101</t>
  </si>
  <si>
    <t>INC4834535</t>
  </si>
  <si>
    <t>INC4834522</t>
  </si>
  <si>
    <t>INC4834517</t>
  </si>
  <si>
    <t>INC4834444</t>
  </si>
  <si>
    <t>807-258-983</t>
  </si>
  <si>
    <t>Dutch Bros CA1501</t>
  </si>
  <si>
    <t>RMA Requested</t>
  </si>
  <si>
    <t>ISF - Non-Functioning Hardware</t>
  </si>
  <si>
    <t>807-226-102</t>
  </si>
  <si>
    <t>System Administrator</t>
  </si>
  <si>
    <t>Internal Staging Failure</t>
  </si>
  <si>
    <t>807-259-232</t>
  </si>
  <si>
    <t>807-262-829</t>
  </si>
  <si>
    <t>807-074-549</t>
  </si>
  <si>
    <t>807-259-412</t>
  </si>
  <si>
    <t>807-554-785</t>
  </si>
  <si>
    <t>Dutch Bros #OR0607</t>
  </si>
  <si>
    <t>807-210-209</t>
  </si>
  <si>
    <t>807-256-488</t>
  </si>
  <si>
    <t>806-764-475</t>
  </si>
  <si>
    <t>807-280-135</t>
  </si>
  <si>
    <t>Dutch Bros #CA0903</t>
  </si>
  <si>
    <t>807-068-963</t>
  </si>
  <si>
    <t>807-614-263</t>
  </si>
  <si>
    <t>807-210-229</t>
  </si>
  <si>
    <t>807-217-459</t>
  </si>
  <si>
    <t>Dutch Bros CO0806</t>
  </si>
  <si>
    <t>807-017-585</t>
  </si>
  <si>
    <t>Dutch Bros OR2506</t>
  </si>
  <si>
    <t>807-356-174</t>
  </si>
  <si>
    <t>807-363-701</t>
  </si>
  <si>
    <t>807-256-065</t>
  </si>
  <si>
    <t>807-233-567</t>
  </si>
  <si>
    <t>807-244-783</t>
  </si>
  <si>
    <t>807-050-245</t>
  </si>
  <si>
    <t>807-198-019</t>
  </si>
  <si>
    <t>807-280-703</t>
  </si>
  <si>
    <t>Dutch Bros WA0405</t>
  </si>
  <si>
    <t>807-078-743</t>
  </si>
  <si>
    <t>807-514-838</t>
  </si>
  <si>
    <t>807-245-450</t>
  </si>
  <si>
    <t>811-345-596</t>
  </si>
  <si>
    <t>807-370-474</t>
  </si>
  <si>
    <t>Dutch Bros CA0701</t>
  </si>
  <si>
    <t>807-657-615</t>
  </si>
  <si>
    <t>Dutch Bros UT0101</t>
  </si>
  <si>
    <t>807-205-566</t>
  </si>
  <si>
    <t xml:space="preserve">Joni </t>
  </si>
  <si>
    <t>Castillo</t>
  </si>
  <si>
    <t>Dutch Bros TX3003</t>
  </si>
  <si>
    <t>807-226-153</t>
  </si>
  <si>
    <t>Dutch Bros OR3402</t>
  </si>
  <si>
    <t>807-210-184</t>
  </si>
  <si>
    <t>Dutch Bros NM0401</t>
  </si>
  <si>
    <t>807-188-738</t>
  </si>
  <si>
    <t>1Z1882X38792895175</t>
  </si>
  <si>
    <t>1Z1882X30296246241</t>
  </si>
  <si>
    <t>807-233-218</t>
  </si>
  <si>
    <t>1Z1882X38796084981</t>
  </si>
  <si>
    <t>1Z1882X30296073179</t>
  </si>
  <si>
    <t>807-395-150</t>
  </si>
  <si>
    <t>807-210-194</t>
  </si>
  <si>
    <t>807-280-592</t>
  </si>
  <si>
    <t>Dutch Bros OR2202</t>
  </si>
  <si>
    <t>807-244-625</t>
  </si>
  <si>
    <t>807-239-522</t>
  </si>
  <si>
    <t>SOFT - Device Update Failure</t>
  </si>
  <si>
    <t>807-356-690</t>
  </si>
  <si>
    <t>Sage</t>
  </si>
  <si>
    <t>Clayborne</t>
  </si>
  <si>
    <t>807-239-723</t>
  </si>
  <si>
    <t>1Z1882X39094150709</t>
  </si>
  <si>
    <t>1Z1882X30297743194</t>
  </si>
  <si>
    <t>Dutch Bros OR3018</t>
  </si>
  <si>
    <t>807-210-949</t>
  </si>
  <si>
    <t>Dutch Bros NM0101</t>
  </si>
  <si>
    <t>807-603-988</t>
  </si>
  <si>
    <t>1Z1882X39094556692</t>
  </si>
  <si>
    <t>1Z1882X30299723185</t>
  </si>
  <si>
    <t>Dutch Bros OR3001</t>
  </si>
  <si>
    <t>807-525-732</t>
  </si>
  <si>
    <t>ISF - Non-Functioning Software</t>
  </si>
  <si>
    <t>806-318-004</t>
  </si>
  <si>
    <t>807-383-610</t>
  </si>
  <si>
    <t>806-318-363</t>
  </si>
  <si>
    <t>1Z1882X38793837753</t>
  </si>
  <si>
    <t>1Z1882X30297828423</t>
  </si>
  <si>
    <t>807-233-810</t>
  </si>
  <si>
    <t>Dutch Bros OR2606</t>
  </si>
  <si>
    <t>807-621-375</t>
  </si>
  <si>
    <t>1Z1882X38791326317</t>
  </si>
  <si>
    <t>1Z1882X30294352504</t>
  </si>
  <si>
    <t>807-525-322</t>
  </si>
  <si>
    <t>807-233-775</t>
  </si>
  <si>
    <t>Dutch Bros UT0704</t>
  </si>
  <si>
    <t>807-394-869</t>
  </si>
  <si>
    <t>807-233-304</t>
  </si>
  <si>
    <t>Dutch Bros #WA2602</t>
  </si>
  <si>
    <t>807-553-786</t>
  </si>
  <si>
    <t>MISC - Found Replaced Lost Device</t>
  </si>
  <si>
    <t>807-226-444</t>
  </si>
  <si>
    <t>807-288-603</t>
  </si>
  <si>
    <t>807-244-939</t>
  </si>
  <si>
    <t>807-244-897</t>
  </si>
  <si>
    <t>807-188-848</t>
  </si>
  <si>
    <t>1Z1882X38794056587</t>
  </si>
  <si>
    <t>1Z1882X30193244170</t>
  </si>
  <si>
    <t>807-363-505</t>
  </si>
  <si>
    <t>1Z1882X38791016161</t>
  </si>
  <si>
    <t>1Z1882X30193419357</t>
  </si>
  <si>
    <t>Dutch Bros CA4602</t>
  </si>
  <si>
    <t>807-256-071</t>
  </si>
  <si>
    <t>1Z1882X38795534148</t>
  </si>
  <si>
    <t>1Z1882X30194669255</t>
  </si>
  <si>
    <t>Dutch Bros ID0901</t>
  </si>
  <si>
    <t>811-343-523</t>
  </si>
  <si>
    <t>1Z1882X30193720075</t>
  </si>
  <si>
    <t>1Z1882X39093448239</t>
  </si>
  <si>
    <t>807-395-063</t>
  </si>
  <si>
    <t>1Z1882X38792506568</t>
  </si>
  <si>
    <t>1Z1882X30297145232</t>
  </si>
  <si>
    <t>807-233-191</t>
  </si>
  <si>
    <t>1Z1882X38790146755</t>
  </si>
  <si>
    <t>1Z1882X30191413740</t>
  </si>
  <si>
    <t>Dutch Bros OR0402</t>
  </si>
  <si>
    <t>807-210-129</t>
  </si>
  <si>
    <t>1Z1882X38792041408</t>
  </si>
  <si>
    <t>1Z1882X30192221393</t>
  </si>
  <si>
    <t>807-183-901</t>
  </si>
  <si>
    <t>1Z1882X30290834492</t>
  </si>
  <si>
    <t>807-210-191</t>
  </si>
  <si>
    <t>1Z1882X38798094529</t>
  </si>
  <si>
    <t>1Z1882X30293121774</t>
  </si>
  <si>
    <t>Dutch Bros CA1901</t>
  </si>
  <si>
    <t>806-878-000</t>
  </si>
  <si>
    <t>1Z1882X38795476694</t>
  </si>
  <si>
    <t>1Z1882X30298386686</t>
  </si>
  <si>
    <t>807-288-958</t>
  </si>
  <si>
    <t>1Z1882X38792418341</t>
  </si>
  <si>
    <t>1Z1882X30190169132</t>
  </si>
  <si>
    <t>Dutch Bros WA0403</t>
  </si>
  <si>
    <t>807-256-411</t>
  </si>
  <si>
    <t>Dutch Bros CA0910</t>
  </si>
  <si>
    <t>807-217-334</t>
  </si>
  <si>
    <t>1Z1882X38795811768</t>
  </si>
  <si>
    <t>1Z1882X30298472350</t>
  </si>
  <si>
    <t>807-210-262</t>
  </si>
  <si>
    <t>1Z1882X38796578304</t>
  </si>
  <si>
    <t>1Z1882X30291813413</t>
  </si>
  <si>
    <t>807-543-179</t>
  </si>
  <si>
    <t>806-318-161</t>
  </si>
  <si>
    <t>807-514-498</t>
  </si>
  <si>
    <t>Dutch Bros CA3201</t>
  </si>
  <si>
    <t>807-258-648</t>
  </si>
  <si>
    <t>807-280-727</t>
  </si>
  <si>
    <t>1Z1882X30193074023</t>
  </si>
  <si>
    <t>Dutch Bros Store# TX6002</t>
  </si>
  <si>
    <t>807-188-531</t>
  </si>
  <si>
    <t>1Z1882X38796984508</t>
  </si>
  <si>
    <t>1Z1882X30191375229</t>
  </si>
  <si>
    <t>807-205-530</t>
  </si>
  <si>
    <t>811-405-063</t>
  </si>
  <si>
    <t>1Z1882X38794824229</t>
  </si>
  <si>
    <t>1Z1882X30191356615</t>
  </si>
  <si>
    <t>Alexis</t>
  </si>
  <si>
    <t>Ruiz</t>
  </si>
  <si>
    <t>Dutch Bros Store# FL2201</t>
  </si>
  <si>
    <t>807-259-209</t>
  </si>
  <si>
    <t>1Z1882X38792689540</t>
  </si>
  <si>
    <t>1Z1882X30197639700</t>
  </si>
  <si>
    <t>807-280-509</t>
  </si>
  <si>
    <t>1Z1882X38795992439</t>
  </si>
  <si>
    <t>1Z1882X30190466927</t>
  </si>
  <si>
    <t>Dutch Bros Store# CA3906</t>
  </si>
  <si>
    <t>807-233-078</t>
  </si>
  <si>
    <t>1Z1882X38794185652</t>
  </si>
  <si>
    <t>1Z1882X30197858545</t>
  </si>
  <si>
    <t>807-188-432</t>
  </si>
  <si>
    <t>1Z1882X38794268901</t>
  </si>
  <si>
    <t>1Z1882X30190998899</t>
  </si>
  <si>
    <t>807-244-823</t>
  </si>
  <si>
    <t>1Z1882X38790994599</t>
  </si>
  <si>
    <t>1Z1882X30193770388</t>
  </si>
  <si>
    <t>Weber</t>
  </si>
  <si>
    <t>Dutch Bros Store# IL0201</t>
  </si>
  <si>
    <t>811-685-710</t>
  </si>
  <si>
    <t>1Z1882X38791877900</t>
  </si>
  <si>
    <t>1Z1882X30190987892</t>
  </si>
  <si>
    <t>Dutch Bros Store# KY0502</t>
  </si>
  <si>
    <t>807-394-749</t>
  </si>
  <si>
    <t>1Z1882X38790241231</t>
  </si>
  <si>
    <t>1Z1882X30191141829</t>
  </si>
  <si>
    <t>Dutch Bros TN0101</t>
  </si>
  <si>
    <t>807-049-546</t>
  </si>
  <si>
    <t>1Z1882X38792192531</t>
  </si>
  <si>
    <t>1Z1882X30192759125</t>
  </si>
  <si>
    <t>Skyler</t>
  </si>
  <si>
    <t>McGunagle</t>
  </si>
  <si>
    <t>Dutch Bros TX0203</t>
  </si>
  <si>
    <t>807-356-230</t>
  </si>
  <si>
    <t>1Z1882X38794878467</t>
  </si>
  <si>
    <t>1Z1882X30190967654</t>
  </si>
  <si>
    <t>Dutch Bros TX5503</t>
  </si>
  <si>
    <t>807-074-259</t>
  </si>
  <si>
    <t>1Z1882X38790987436</t>
  </si>
  <si>
    <t>1Z1882X30194172022</t>
  </si>
  <si>
    <t>807-383-692</t>
  </si>
  <si>
    <t>1Z1882X38798304337</t>
  </si>
  <si>
    <t>1Z1882X30193396855</t>
  </si>
  <si>
    <t>807-370-706</t>
  </si>
  <si>
    <t>1Z1882X38792832296</t>
  </si>
  <si>
    <t>1Z1882X30190922086</t>
  </si>
  <si>
    <t>807-233-283</t>
  </si>
  <si>
    <t>1Z1882X30195613339</t>
  </si>
  <si>
    <t>807-205-344</t>
  </si>
  <si>
    <t>1Z1882X38798805313</t>
  </si>
  <si>
    <t>1Z1882X30291076765</t>
  </si>
  <si>
    <t>Dutch Bros WA1304</t>
  </si>
  <si>
    <t>807-217-567</t>
  </si>
  <si>
    <t>807-256-293</t>
  </si>
  <si>
    <t>1Z1882X38793346944</t>
  </si>
  <si>
    <t>1Z1882X30195241651</t>
  </si>
  <si>
    <t>807-274-122</t>
  </si>
  <si>
    <t>811-409-829</t>
  </si>
  <si>
    <t>1Z1882X38792615039</t>
  </si>
  <si>
    <t>1Z1882X30194631624</t>
  </si>
  <si>
    <t>Dutch Bros Store# CA5209</t>
  </si>
  <si>
    <t>807-239-699</t>
  </si>
  <si>
    <t>1Z1882X38799370577</t>
  </si>
  <si>
    <t>1Z1882X30199767550</t>
  </si>
  <si>
    <t>Dutch Bros TN0401</t>
  </si>
  <si>
    <t>807-244-918</t>
  </si>
  <si>
    <t>Samantha</t>
  </si>
  <si>
    <t>Dutch Bros CA3806</t>
  </si>
  <si>
    <t>807-210-214</t>
  </si>
  <si>
    <t>1Z1882X38791828801</t>
  </si>
  <si>
    <t>1Z1882X30193476796</t>
  </si>
  <si>
    <t>807-050-083</t>
  </si>
  <si>
    <t>1Z1882X38791709510</t>
  </si>
  <si>
    <t>1Z1882X30193359707</t>
  </si>
  <si>
    <t>807-069-155</t>
  </si>
  <si>
    <t>1Z1882X38796456061</t>
  </si>
  <si>
    <t>1Z1882X30198710657</t>
  </si>
  <si>
    <t>807-525-079</t>
  </si>
  <si>
    <t>1Z1882X38794386248</t>
  </si>
  <si>
    <t>1Z1882X30195545716</t>
  </si>
  <si>
    <t>Dutch Bros TX4603</t>
  </si>
  <si>
    <t>807-370-653</t>
  </si>
  <si>
    <t>1Z1882X38793269322</t>
  </si>
  <si>
    <t>1Z1882X30193983710</t>
  </si>
  <si>
    <t>Dutch Bros NV0504</t>
  </si>
  <si>
    <t>807-183-896</t>
  </si>
  <si>
    <t>1Z1882X38793371952</t>
  </si>
  <si>
    <t>1Z1882X30292702942</t>
  </si>
  <si>
    <t>807-233-496</t>
  </si>
  <si>
    <t>1Z1882X38790216321</t>
  </si>
  <si>
    <t>1Z1882X30295460878</t>
  </si>
  <si>
    <t>807-356-184</t>
  </si>
  <si>
    <t>1Z1882X38791573185</t>
  </si>
  <si>
    <t>1Z1882X30191572775</t>
  </si>
  <si>
    <t>Dutch Bros NM0302</t>
  </si>
  <si>
    <t>807-262-817</t>
  </si>
  <si>
    <t>1Z1882X30293128286</t>
  </si>
  <si>
    <t>807-256-223</t>
  </si>
  <si>
    <t>1Z1882X38793747725</t>
  </si>
  <si>
    <t>1Z1882X30194550113</t>
  </si>
  <si>
    <t>807-233-761</t>
  </si>
  <si>
    <t>1Z1882X30296535269</t>
  </si>
  <si>
    <t>807-050-922</t>
  </si>
  <si>
    <t>1Z1882X30193905858</t>
  </si>
  <si>
    <t>807-356-980</t>
  </si>
  <si>
    <t>807-395-215</t>
  </si>
  <si>
    <t>1Z1882X38791023484</t>
  </si>
  <si>
    <t>1Z1882X30192869079</t>
  </si>
  <si>
    <t>Casey</t>
  </si>
  <si>
    <t>Van Note</t>
  </si>
  <si>
    <t>Dutch Bros KS0203</t>
  </si>
  <si>
    <t>811-684-741</t>
  </si>
  <si>
    <t>1Z1882X38794834843</t>
  </si>
  <si>
    <t>1Z1882X30192115632</t>
  </si>
  <si>
    <t>Dutch Bros Store# AZ0604</t>
  </si>
  <si>
    <t>807-395-313</t>
  </si>
  <si>
    <t>1Z1882X38793500419</t>
  </si>
  <si>
    <t>1Z1882X30197206114</t>
  </si>
  <si>
    <t>807-210-204</t>
  </si>
  <si>
    <t>1Z1882X38792521069</t>
  </si>
  <si>
    <t>1Z1882X30194742255</t>
  </si>
  <si>
    <t>807-256-170</t>
  </si>
  <si>
    <t>1Z1882X38795796713</t>
  </si>
  <si>
    <t>1Z1882X30291580433</t>
  </si>
  <si>
    <t>807-205-811</t>
  </si>
  <si>
    <t>Dutch Bros CO0906</t>
  </si>
  <si>
    <t>HARD - Hard Drive Failure</t>
  </si>
  <si>
    <t>811-684-582</t>
  </si>
  <si>
    <t>1Z1882X38792999278</t>
  </si>
  <si>
    <t>1Z1882X30190172664</t>
  </si>
  <si>
    <t>807-394-802</t>
  </si>
  <si>
    <t>1Z1882X38796550182</t>
  </si>
  <si>
    <t>1Z1882X30292761101</t>
  </si>
  <si>
    <t>807-525-306</t>
  </si>
  <si>
    <t>1Z1882X38790495093</t>
  </si>
  <si>
    <t>1Z1882X30299679359</t>
  </si>
  <si>
    <t>Dutch Bro's Store WY0102</t>
  </si>
  <si>
    <t>807-188-359</t>
  </si>
  <si>
    <t>1Z1882X30299719636</t>
  </si>
  <si>
    <t>807-383-750</t>
  </si>
  <si>
    <t>1Z1882X38795318275</t>
  </si>
  <si>
    <t>1Z1882X30193907132</t>
  </si>
  <si>
    <t>807-233-960</t>
  </si>
  <si>
    <t>1Z1882X38797808287</t>
  </si>
  <si>
    <t>1Z1882X30195210470</t>
  </si>
  <si>
    <t>807-356-269</t>
  </si>
  <si>
    <t>1Z1882X38793695068</t>
  </si>
  <si>
    <t>1Z1882X30195748355</t>
  </si>
  <si>
    <t>807-074-737</t>
  </si>
  <si>
    <t>1Z1882X38790536084</t>
  </si>
  <si>
    <t>1Z1882X30198783374</t>
  </si>
  <si>
    <t>807-355-907</t>
  </si>
  <si>
    <t>807-356-750</t>
  </si>
  <si>
    <t>1Z1882X38795535781</t>
  </si>
  <si>
    <t>1Z1882X30297387972</t>
  </si>
  <si>
    <t>807-248-328</t>
  </si>
  <si>
    <t>1Z1882X38798347274</t>
  </si>
  <si>
    <t>1Z1882X30293735816</t>
  </si>
  <si>
    <t>Dutch Bros OR0501</t>
  </si>
  <si>
    <t>807-262-638</t>
  </si>
  <si>
    <t>1Z1882X38794680563</t>
  </si>
  <si>
    <t>1Z1882X30197378368</t>
  </si>
  <si>
    <t>807-383-742</t>
  </si>
  <si>
    <t>1Z1882X38791552000</t>
  </si>
  <si>
    <t>1Z1882X30190623999</t>
  </si>
  <si>
    <t>806-318-483</t>
  </si>
  <si>
    <t>1Z1882X38795582668</t>
  </si>
  <si>
    <t>1Z1882X30192135192</t>
  </si>
  <si>
    <t>Dutch Bros AZ0807</t>
  </si>
  <si>
    <t>807-239-858</t>
  </si>
  <si>
    <t>1Z1882X38796733663</t>
  </si>
  <si>
    <t>1Z1882X30198796253</t>
  </si>
  <si>
    <t>807-198-755</t>
  </si>
  <si>
    <t>1Z1882X38797294716</t>
  </si>
  <si>
    <t>1Z1882X30290199394</t>
  </si>
  <si>
    <t>Dutch Bros Store# CA1508</t>
  </si>
  <si>
    <t>807-075-835</t>
  </si>
  <si>
    <t>1Z1882X38796043711</t>
  </si>
  <si>
    <t>1Z1882X30290709056</t>
  </si>
  <si>
    <t>806-318-534</t>
  </si>
  <si>
    <t>1Z1882X38792437357</t>
  </si>
  <si>
    <t>1Z1882X30292196348</t>
  </si>
  <si>
    <t>Dutch Bros CA2101</t>
  </si>
  <si>
    <t>807-258-946</t>
  </si>
  <si>
    <t>1Z1882X38798824132</t>
  </si>
  <si>
    <t>1Z1882X30194476454</t>
  </si>
  <si>
    <t>807-514-365</t>
  </si>
  <si>
    <t>1Z1882X38798480361</t>
  </si>
  <si>
    <t>1Z1882X30192641420</t>
  </si>
  <si>
    <t>Dutch Bros Store# CA2605</t>
  </si>
  <si>
    <t>807-205-396</t>
  </si>
  <si>
    <t>1Z1882X38794140575</t>
  </si>
  <si>
    <t>1Z1882X30191779963</t>
  </si>
  <si>
    <t>807-075-646</t>
  </si>
  <si>
    <t>1Z1882X38798376279</t>
  </si>
  <si>
    <t>1Z1882X30190759209</t>
  </si>
  <si>
    <t>807-525-936</t>
  </si>
  <si>
    <t>1Z1882X38795852867</t>
  </si>
  <si>
    <t>1Z1882X30196651457</t>
  </si>
  <si>
    <t>Dutch Bros Store# TX0911</t>
  </si>
  <si>
    <t>807-239-664</t>
  </si>
  <si>
    <t>Dutch Bro's Store MO0201</t>
  </si>
  <si>
    <t>807-069-213</t>
  </si>
  <si>
    <t>1Z1882X38790437968</t>
  </si>
  <si>
    <t>1Z1882X30194317152</t>
  </si>
  <si>
    <t>807-078-981</t>
  </si>
  <si>
    <t>1Z1882X38791523461</t>
  </si>
  <si>
    <t>1Z1882X30198604683</t>
  </si>
  <si>
    <t>Dutch Bros TX0907</t>
  </si>
  <si>
    <t>807-245-232</t>
  </si>
  <si>
    <t>1Z1882X38792328304</t>
  </si>
  <si>
    <t>1Z1882X30198802245</t>
  </si>
  <si>
    <t>807-233-801</t>
  </si>
  <si>
    <t>1Z1882X38791596259</t>
  </si>
  <si>
    <t>1Z1882X30196827320</t>
  </si>
  <si>
    <t>Dutch Bros CA1805</t>
  </si>
  <si>
    <t>807-274-743</t>
  </si>
  <si>
    <t>1Z1882X38795728957</t>
  </si>
  <si>
    <t>1Z1882X30292245991</t>
  </si>
  <si>
    <t>Dutch Bros ID0302</t>
  </si>
  <si>
    <t>806-764-075</t>
  </si>
  <si>
    <t>807-050-093</t>
  </si>
  <si>
    <t>1Z1882X38792646836</t>
  </si>
  <si>
    <t>1Z1882X30197419091</t>
  </si>
  <si>
    <t>807-069-021</t>
  </si>
  <si>
    <t>1Z1882X38790537538</t>
  </si>
  <si>
    <t>1Z1882X30194004123</t>
  </si>
  <si>
    <t>807-205-448</t>
  </si>
  <si>
    <t>1Z1882X38792880949</t>
  </si>
  <si>
    <t>1Z1882X30194163738</t>
  </si>
  <si>
    <t xml:space="preserve">Villy </t>
  </si>
  <si>
    <t>Luangsalat</t>
  </si>
  <si>
    <t>Dutch Bros TX3203</t>
  </si>
  <si>
    <t>807-210-189</t>
  </si>
  <si>
    <t>1Z1882X38796374908</t>
  </si>
  <si>
    <t>1Z1882X30292025737</t>
  </si>
  <si>
    <t>Dutch Bros ID0402</t>
  </si>
  <si>
    <t>807-210-206</t>
  </si>
  <si>
    <t>1Z1882X38793868489</t>
  </si>
  <si>
    <t>1Z1882X30193614074</t>
  </si>
  <si>
    <t>806-318-513</t>
  </si>
  <si>
    <t>1Z1882X38792112144</t>
  </si>
  <si>
    <t>1Z1882X30197065259</t>
  </si>
  <si>
    <t>807-188-694</t>
  </si>
  <si>
    <t>1Z1882X38797801220</t>
  </si>
  <si>
    <t>1Z1882X38794828789</t>
  </si>
  <si>
    <t>1Z1882X30192934766</t>
  </si>
  <si>
    <t>807-210-471</t>
  </si>
  <si>
    <t>1Z1882X38790402987</t>
  </si>
  <si>
    <t>1Z1882X30192438570</t>
  </si>
  <si>
    <t>807-078-657</t>
  </si>
  <si>
    <t>1Z1882X38798620049</t>
  </si>
  <si>
    <t>1Z1882X30195723032</t>
  </si>
  <si>
    <t>807-217-594</t>
  </si>
  <si>
    <t>1Z1882X38794101303</t>
  </si>
  <si>
    <t>1Z1882X30294199298</t>
  </si>
  <si>
    <t>807-205-333</t>
  </si>
  <si>
    <t>1Z1882X38792511187</t>
  </si>
  <si>
    <t>1Z1882X30292670772</t>
  </si>
  <si>
    <t>807-543-871</t>
  </si>
  <si>
    <t>1Z1882X38794404709</t>
  </si>
  <si>
    <t>1Z1882X30191090698</t>
  </si>
  <si>
    <t>807-356-099</t>
  </si>
  <si>
    <t>1Z1882X38797312900</t>
  </si>
  <si>
    <t>1Z1882X30199454692</t>
  </si>
  <si>
    <t>807-356-113</t>
  </si>
  <si>
    <t>1Z1882X38796159187</t>
  </si>
  <si>
    <t>1Z1882X30192566299</t>
  </si>
  <si>
    <t>Dutch Bros CA4401</t>
  </si>
  <si>
    <t>807-525-980</t>
  </si>
  <si>
    <t>1Z1882X38791913674</t>
  </si>
  <si>
    <t>1Z1882X30199407760</t>
  </si>
  <si>
    <t>807-248-431</t>
  </si>
  <si>
    <t>Nelson</t>
  </si>
  <si>
    <t>Dutch Bros WA1402</t>
  </si>
  <si>
    <t>806-710-195</t>
  </si>
  <si>
    <t>1Z1882X38797645971</t>
  </si>
  <si>
    <t>1Z1882X30194989178</t>
  </si>
  <si>
    <t>Lauren</t>
  </si>
  <si>
    <t>Arant</t>
  </si>
  <si>
    <t>Dutch Bros Store# FL1404</t>
  </si>
  <si>
    <t>807-383-797</t>
  </si>
  <si>
    <t>1Z1882X38796312082</t>
  </si>
  <si>
    <t>1Z1882X30293474161</t>
  </si>
  <si>
    <t>807-259-281</t>
  </si>
  <si>
    <t>1Z1882X38794032012</t>
  </si>
  <si>
    <t>1Z1882X30290132204</t>
  </si>
  <si>
    <t>807-210-113</t>
  </si>
  <si>
    <t>1Z1882X38799629922</t>
  </si>
  <si>
    <t>1Z1882X30198903314</t>
  </si>
  <si>
    <t>807-239-088</t>
  </si>
  <si>
    <t>1Z1882X38796176739</t>
  </si>
  <si>
    <t>1Z1882X30193854510</t>
  </si>
  <si>
    <t>807-274-721</t>
  </si>
  <si>
    <t>1Z1882X38799466956</t>
  </si>
  <si>
    <t>1Z1882X30191691753</t>
  </si>
  <si>
    <t>807-188-228</t>
  </si>
  <si>
    <t>1Z1882X38793706813</t>
  </si>
  <si>
    <t>1Z1882X30197664156</t>
  </si>
  <si>
    <t>Dutch Bros Store# CO0702</t>
  </si>
  <si>
    <t>807-245-004</t>
  </si>
  <si>
    <t>1Z1882X38794662047</t>
  </si>
  <si>
    <t>1Z1882X30296085308</t>
  </si>
  <si>
    <t>Dutch Bros OR2504</t>
  </si>
  <si>
    <t>807-356-983</t>
  </si>
  <si>
    <t>1Z1882X38793645728</t>
  </si>
  <si>
    <t>1Z1882X30291808116</t>
  </si>
  <si>
    <t>807-394-754</t>
  </si>
  <si>
    <t>1Z1882X38798801148</t>
  </si>
  <si>
    <t>1Z1882X30195242132</t>
  </si>
  <si>
    <t>807-530-478</t>
  </si>
  <si>
    <t>1Z1882X38796107741</t>
  </si>
  <si>
    <t>1Z1882X30194858747</t>
  </si>
  <si>
    <t>807-543-971</t>
  </si>
  <si>
    <t>1Z1882X38791470714</t>
  </si>
  <si>
    <t>1Z1882X30299325856</t>
  </si>
  <si>
    <t>807-205-074</t>
  </si>
  <si>
    <t>1Z1882X38793138786</t>
  </si>
  <si>
    <t>1Z1882X30299405939</t>
  </si>
  <si>
    <t>807-395-274</t>
  </si>
  <si>
    <t>1Z1882X38792108060</t>
  </si>
  <si>
    <t>1Z1882X30298541356</t>
  </si>
  <si>
    <t>806-764-480</t>
  </si>
  <si>
    <t>1Z1882X38792069228</t>
  </si>
  <si>
    <t>1Z1882X30194501612</t>
  </si>
  <si>
    <t>807-548-540</t>
  </si>
  <si>
    <t>1Z1882X38794743003</t>
  </si>
  <si>
    <t>1Z1882X30192434994</t>
  </si>
  <si>
    <t>807-226-175</t>
  </si>
  <si>
    <t>1Z1882X38790932897</t>
  </si>
  <si>
    <t>1Z1882X30191714684</t>
  </si>
  <si>
    <t>807-548-811</t>
  </si>
  <si>
    <t>1Z1882X38793847939</t>
  </si>
  <si>
    <t>1Z1882X30193642525</t>
  </si>
  <si>
    <t>807-525-310</t>
  </si>
  <si>
    <t>1Z1882X38798043799</t>
  </si>
  <si>
    <t>1Z1882X30197171787</t>
  </si>
  <si>
    <t>807-210-210</t>
  </si>
  <si>
    <t>1Z1882X38792738568</t>
  </si>
  <si>
    <t>1Z1882X30199750862</t>
  </si>
  <si>
    <t>Dutch Bros Store# CA0808</t>
  </si>
  <si>
    <t>807-548-506</t>
  </si>
  <si>
    <t>1Z1882X38795389458</t>
  </si>
  <si>
    <t>1Z1882X30193309752</t>
  </si>
  <si>
    <t>807-226-009</t>
  </si>
  <si>
    <t>1Z1882X38792502124</t>
  </si>
  <si>
    <t>1Z1882X30191712515</t>
  </si>
  <si>
    <t>Dutch Bros TX2601</t>
  </si>
  <si>
    <t>807-553-986</t>
  </si>
  <si>
    <t>1Z1882X38799660138</t>
  </si>
  <si>
    <t>1Z1882X30191731558</t>
  </si>
  <si>
    <t>Dutch Bros UT0501</t>
  </si>
  <si>
    <t>807-074-854</t>
  </si>
  <si>
    <t>1Z1882X38793595649</t>
  </si>
  <si>
    <t>1Z1882X30193332431</t>
  </si>
  <si>
    <t>Dutch Bros CA3702</t>
  </si>
  <si>
    <t>807-205-163</t>
  </si>
  <si>
    <t>1Z1882X38797001344</t>
  </si>
  <si>
    <t>1Z1882X30191468852</t>
  </si>
  <si>
    <t>807-395-293</t>
  </si>
  <si>
    <t>1Z1882X38795677191</t>
  </si>
  <si>
    <t>1Z1882X30194730651</t>
  </si>
  <si>
    <t>Destiny</t>
  </si>
  <si>
    <t>Musgrave</t>
  </si>
  <si>
    <t>Dutch Bros Store# TN0906</t>
  </si>
  <si>
    <t>807-226-618</t>
  </si>
  <si>
    <t>1Z1882X38795985401</t>
  </si>
  <si>
    <t>1Z1882X30194181469</t>
  </si>
  <si>
    <t>807-226-046</t>
  </si>
  <si>
    <t>1Z1882X38791971987</t>
  </si>
  <si>
    <t>1Z1882X30193587578</t>
  </si>
  <si>
    <t>807-188-255</t>
  </si>
  <si>
    <t>1Z1882X38796515578</t>
  </si>
  <si>
    <t>1Z1882X30195415964</t>
  </si>
  <si>
    <t>860-129-442</t>
  </si>
  <si>
    <t>1Z1882X38796129987</t>
  </si>
  <si>
    <t>1Z1882X30294078267</t>
  </si>
  <si>
    <t>807-205-157</t>
  </si>
  <si>
    <t>1Z1882X38790593521</t>
  </si>
  <si>
    <t>1Z1882X30193551918</t>
  </si>
  <si>
    <t>Chase</t>
  </si>
  <si>
    <t>Applewhite</t>
  </si>
  <si>
    <t>Dutch Bros TX6501</t>
  </si>
  <si>
    <t>807-078-450</t>
  </si>
  <si>
    <t>1Z1882X38791766968</t>
  </si>
  <si>
    <t>1Z1882X30193426152</t>
  </si>
  <si>
    <t>Dutch Bros CA4001</t>
  </si>
  <si>
    <t>807-205-839</t>
  </si>
  <si>
    <t>1Z1882X38799849337</t>
  </si>
  <si>
    <t>1Z1882X30297210527</t>
  </si>
  <si>
    <t>807-049-797</t>
  </si>
  <si>
    <t>1Z1882X38791622210</t>
  </si>
  <si>
    <t>1Z1882X30290086407</t>
  </si>
  <si>
    <t>Dutch Bros OR2602</t>
  </si>
  <si>
    <t>807-198-944</t>
  </si>
  <si>
    <t>1Z1882X38790875539</t>
  </si>
  <si>
    <t>1Z1882X30196199232</t>
  </si>
  <si>
    <t>Dutch Bros CO0904</t>
  </si>
  <si>
    <t>807-248-106</t>
  </si>
  <si>
    <t>1Z1882X38793601140</t>
  </si>
  <si>
    <t>1Z1882X30195903972</t>
  </si>
  <si>
    <t>Beagley</t>
  </si>
  <si>
    <t>Dutch Bros Store# OK0408</t>
  </si>
  <si>
    <t>807-188-819</t>
  </si>
  <si>
    <t>1Z1882X38792516977</t>
  </si>
  <si>
    <t>1Z1882X30192604363</t>
  </si>
  <si>
    <t>807-394-780</t>
  </si>
  <si>
    <t>1Z1882X38799441375</t>
  </si>
  <si>
    <t>1Z1882X30194645413</t>
  </si>
  <si>
    <t>Dutch Bros CA4301</t>
  </si>
  <si>
    <t>807-370-347</t>
  </si>
  <si>
    <t>1Z1882X38791214250</t>
  </si>
  <si>
    <t>1Z1882X30192831242</t>
  </si>
  <si>
    <t>Dutch Bros TX2607</t>
  </si>
  <si>
    <t>807-205-214</t>
  </si>
  <si>
    <t>1Z1882X38792915830</t>
  </si>
  <si>
    <t>1Z1882X30199258949</t>
  </si>
  <si>
    <t>807-258-989</t>
  </si>
  <si>
    <t>1Z1882X38790614749</t>
  </si>
  <si>
    <t>1Z1882X30195713383</t>
  </si>
  <si>
    <t>Dutch Bros OR0302</t>
  </si>
  <si>
    <t>807-078-270</t>
  </si>
  <si>
    <t>1Z1882X38795979141</t>
  </si>
  <si>
    <t>1Z1882X30194353381</t>
  </si>
  <si>
    <t>Dutch Bros Store# TX3009</t>
  </si>
  <si>
    <t>807-226-624</t>
  </si>
  <si>
    <t>1Z1882X38796356017</t>
  </si>
  <si>
    <t>1Z1882X30197431602</t>
  </si>
  <si>
    <t>806-764-533</t>
  </si>
  <si>
    <t>1Z1882X38790960035</t>
  </si>
  <si>
    <t>1Z1882X30190876627</t>
  </si>
  <si>
    <t>811-705-953</t>
  </si>
  <si>
    <t>1Z1882X38792733661</t>
  </si>
  <si>
    <t>1Z1882X30193486856</t>
  </si>
  <si>
    <t>Gabe</t>
  </si>
  <si>
    <t>Filler</t>
  </si>
  <si>
    <t>Dutch Bros Store#  AL0804</t>
  </si>
  <si>
    <t>811-705-948</t>
  </si>
  <si>
    <t>1Z1882X38795532971</t>
  </si>
  <si>
    <t>1Z1882X30191313198</t>
  </si>
  <si>
    <t>807-233-890</t>
  </si>
  <si>
    <t>1Z1882X38794280218</t>
  </si>
  <si>
    <t>1Z1882X30193304408</t>
  </si>
  <si>
    <t>Dutch Bros MO0105</t>
  </si>
  <si>
    <t>807-244-773</t>
  </si>
  <si>
    <t>1Z1882X38794236749</t>
  </si>
  <si>
    <t>1Z1882X30199580242</t>
  </si>
  <si>
    <t>807-395-193</t>
  </si>
  <si>
    <t>1Z1882X38796761301</t>
  </si>
  <si>
    <t>1Z1882X30198175094</t>
  </si>
  <si>
    <t>807-244-608</t>
  </si>
  <si>
    <t>1Z1882X38795357081</t>
  </si>
  <si>
    <t>1Z1882X30195463279</t>
  </si>
  <si>
    <t>807-258-674</t>
  </si>
  <si>
    <t>1Z1882X38793655235</t>
  </si>
  <si>
    <t>1Z1882X30192035826</t>
  </si>
  <si>
    <t>Dutch Bros FL0301</t>
  </si>
  <si>
    <t>807-049-688</t>
  </si>
  <si>
    <t>1Z1882X38790144391</t>
  </si>
  <si>
    <t>1Z1882X30192356186</t>
  </si>
  <si>
    <t>Dutch Bros Store# TN1301</t>
  </si>
  <si>
    <t>807-525-872</t>
  </si>
  <si>
    <t>1Z1882X38793000129</t>
  </si>
  <si>
    <t>1Z1882X30191570517</t>
  </si>
  <si>
    <t>Dutch Bros OR2702</t>
  </si>
  <si>
    <t>807-198-702</t>
  </si>
  <si>
    <t>1Z1882X38791822709</t>
  </si>
  <si>
    <t>1Z1882X30195202425</t>
  </si>
  <si>
    <t>807-217-661</t>
  </si>
  <si>
    <t>1Z1882X38791968204</t>
  </si>
  <si>
    <t>1Z1882X30192724199</t>
  </si>
  <si>
    <t>807-198-038</t>
  </si>
  <si>
    <t>1Z1882X38791533601</t>
  </si>
  <si>
    <t>1Z1882X30195705767</t>
  </si>
  <si>
    <t>806-318-149</t>
  </si>
  <si>
    <t>1Z1882X38796406847</t>
  </si>
  <si>
    <t>1Z1882X30198253839</t>
  </si>
  <si>
    <t>807-530-222</t>
  </si>
  <si>
    <t>1Z1882X38794905258</t>
  </si>
  <si>
    <t>1Z1882X30195028052</t>
  </si>
  <si>
    <t>Ronnie</t>
  </si>
  <si>
    <t>Dutch Bro's Store FL1002</t>
  </si>
  <si>
    <t>811-409-802</t>
  </si>
  <si>
    <t>1Z1882X38794569336</t>
  </si>
  <si>
    <t>1Z1882X30199986091</t>
  </si>
  <si>
    <t>Blain</t>
  </si>
  <si>
    <t>Hobbs</t>
  </si>
  <si>
    <t>Dutch Bros Store# TX6603</t>
  </si>
  <si>
    <t>807-248-293</t>
  </si>
  <si>
    <t>1Z1882X38798969325</t>
  </si>
  <si>
    <t>1Z1882X30293790828</t>
  </si>
  <si>
    <t>Dutch Bros OR2204</t>
  </si>
  <si>
    <t>807-198-974</t>
  </si>
  <si>
    <t>1Z1882X38793015506</t>
  </si>
  <si>
    <t>1Z1882X30295829506</t>
  </si>
  <si>
    <t>807-198-661</t>
  </si>
  <si>
    <t>1Z1882X38795725361</t>
  </si>
  <si>
    <t>1Z1882X30292736577</t>
  </si>
  <si>
    <t>807-226-304</t>
  </si>
  <si>
    <t>1Z1882X38792268692</t>
  </si>
  <si>
    <t>1Z1882X30192006483</t>
  </si>
  <si>
    <t>Dutch Bros TX3005</t>
  </si>
  <si>
    <t>807-274-393</t>
  </si>
  <si>
    <t>1Z1882X38796166964</t>
  </si>
  <si>
    <t>1Z1882X30297443553</t>
  </si>
  <si>
    <t>807-525-991</t>
  </si>
  <si>
    <t>1Z1882X38791177014</t>
  </si>
  <si>
    <t>1Z1882X30191177201</t>
  </si>
  <si>
    <t>807-530-821</t>
  </si>
  <si>
    <t>1Z1882X38790912079</t>
  </si>
  <si>
    <t>1Z1882X38791146575</t>
  </si>
  <si>
    <t>1Z1882X30199025815</t>
  </si>
  <si>
    <t>Dutch Bros CO0303</t>
  </si>
  <si>
    <t>807-356-688</t>
  </si>
  <si>
    <t>1Z1882X38797448498</t>
  </si>
  <si>
    <t>1Z1882X30192936639</t>
  </si>
  <si>
    <t>807-356-448</t>
  </si>
  <si>
    <t>1Z1882X38797402483</t>
  </si>
  <si>
    <t>1Z1882X30193017611</t>
  </si>
  <si>
    <t>811-685-148</t>
  </si>
  <si>
    <t>1Z1882X38799373574</t>
  </si>
  <si>
    <t>1Z1882X30199913963</t>
  </si>
  <si>
    <t>Haag</t>
  </si>
  <si>
    <t>Dutch Bros AZ0633</t>
  </si>
  <si>
    <t>807-198-071</t>
  </si>
  <si>
    <t>1Z1882X38792300333</t>
  </si>
  <si>
    <t>1Z1882X30299086383</t>
  </si>
  <si>
    <t>Dutch Bros CA1701</t>
  </si>
  <si>
    <t>806-987-618</t>
  </si>
  <si>
    <t>1Z1882X38794035699</t>
  </si>
  <si>
    <t>1Z1882X30296672816</t>
  </si>
  <si>
    <t>Dutch Bros WA0702</t>
  </si>
  <si>
    <t>807-262-550</t>
  </si>
  <si>
    <t>1Z1882X38793168468</t>
  </si>
  <si>
    <t>1Z1882X30292057659</t>
  </si>
  <si>
    <t>807-244-615</t>
  </si>
  <si>
    <t>1Z1882X38793236750</t>
  </si>
  <si>
    <t>1Z1882X30293303747</t>
  </si>
  <si>
    <t>807-280-439</t>
  </si>
  <si>
    <t>1Z1882X38797119558</t>
  </si>
  <si>
    <t>1Z1882X30293995858</t>
  </si>
  <si>
    <t>807-613-564</t>
  </si>
  <si>
    <t>1Z1882X30295162968</t>
  </si>
  <si>
    <t>807-288-583</t>
  </si>
  <si>
    <t>1Z1882X38797726231</t>
  </si>
  <si>
    <t>1Z1882X30298389423</t>
  </si>
  <si>
    <t>807-074-811</t>
  </si>
  <si>
    <t>1Z1882X38794314226</t>
  </si>
  <si>
    <t>1Z1882X30197427911</t>
  </si>
  <si>
    <t>807-233-210</t>
  </si>
  <si>
    <t>1Z1882X38796085337</t>
  </si>
  <si>
    <t>1Z1882X30198326528</t>
  </si>
  <si>
    <t>807-258-512</t>
  </si>
  <si>
    <t>1Z1882X38791746588</t>
  </si>
  <si>
    <t>1Z1882X30191734171</t>
  </si>
  <si>
    <t>807-259-498</t>
  </si>
  <si>
    <t>1Z1882X38799905507</t>
  </si>
  <si>
    <t>1Z1882X30192646612</t>
  </si>
  <si>
    <t>807-210-002</t>
  </si>
  <si>
    <t>1Z1882X38790449704</t>
  </si>
  <si>
    <t>1Z1882X30298247246</t>
  </si>
  <si>
    <t>807-239-503</t>
  </si>
  <si>
    <t>1Z1882X38799555298</t>
  </si>
  <si>
    <t>1Z1882X30190918804</t>
  </si>
  <si>
    <t>Shyla</t>
  </si>
  <si>
    <t>Sparrow</t>
  </si>
  <si>
    <t>Dutch Bros TX1001</t>
  </si>
  <si>
    <t>807-356-922</t>
  </si>
  <si>
    <t>1Z1882X38790249126</t>
  </si>
  <si>
    <t>1Z1882X30290999510</t>
  </si>
  <si>
    <t>Dutch Bros WA1203</t>
  </si>
  <si>
    <t>807-355-615</t>
  </si>
  <si>
    <t>1Z1882X38792325567</t>
  </si>
  <si>
    <t>1Z1882X30299853286</t>
  </si>
  <si>
    <t>Dutch Bros OR0802</t>
  </si>
  <si>
    <t>807-245-146</t>
  </si>
  <si>
    <t>1Z1882X38792462669</t>
  </si>
  <si>
    <t>1Z1882X30198802576</t>
  </si>
  <si>
    <t>807-409-130</t>
  </si>
  <si>
    <t>1Z1882X38793882534</t>
  </si>
  <si>
    <t>1Z1882X30198355470</t>
  </si>
  <si>
    <t>Dutch Bros CA14T2</t>
  </si>
  <si>
    <t>807-244-627</t>
  </si>
  <si>
    <t>1Z1882X38796803015</t>
  </si>
  <si>
    <t>1Z1882X30192273711</t>
  </si>
  <si>
    <t>807-078-989</t>
  </si>
  <si>
    <t>1Z1882X38797864430</t>
  </si>
  <si>
    <t>1Z1882X30195283624</t>
  </si>
  <si>
    <t>807-514-544</t>
  </si>
  <si>
    <t>1Z1882X38798138606</t>
  </si>
  <si>
    <t>1Z1882X30198286394</t>
  </si>
  <si>
    <t>807-239-869</t>
  </si>
  <si>
    <t>1Z1882X30191366793</t>
  </si>
  <si>
    <t>Dutch Bros CA3801</t>
  </si>
  <si>
    <t>807-188-869</t>
  </si>
  <si>
    <t>1Z1882X38790877895</t>
  </si>
  <si>
    <t>1Z1882X30191559683</t>
  </si>
  <si>
    <t>806-764-224</t>
  </si>
  <si>
    <t>1Z1882X38796922388</t>
  </si>
  <si>
    <t>1Z1882X30193489273</t>
  </si>
  <si>
    <t>807-259-111</t>
  </si>
  <si>
    <t>807-069-157</t>
  </si>
  <si>
    <t>807-525-816</t>
  </si>
  <si>
    <t>1Z1882X38791435520</t>
  </si>
  <si>
    <t>Dutch Bros CA3802</t>
  </si>
  <si>
    <t>807-210-716</t>
  </si>
  <si>
    <t>807-514-634</t>
  </si>
  <si>
    <t>1Z1882X38799072434</t>
  </si>
  <si>
    <t>Dutch Bros CA2802</t>
  </si>
  <si>
    <t>807-245-151</t>
  </si>
  <si>
    <t>1Z1882X39092197342</t>
  </si>
  <si>
    <t>ISF - MDM Enrollment Failures</t>
  </si>
  <si>
    <t>811-685-851</t>
  </si>
  <si>
    <t>DOA RMA</t>
  </si>
  <si>
    <t>807-258-538</t>
  </si>
  <si>
    <t>1Z1882X38796644198</t>
  </si>
  <si>
    <t>1Z1882X30293062641</t>
  </si>
  <si>
    <t>807-217-432</t>
  </si>
  <si>
    <t>1Z1882X38799892405</t>
  </si>
  <si>
    <t>1Z1882X30291713487</t>
  </si>
  <si>
    <t>807-198-689</t>
  </si>
  <si>
    <t>1Z1882X38798097866</t>
  </si>
  <si>
    <t>1Z1882X30295996451</t>
  </si>
  <si>
    <t>807-383-484</t>
  </si>
  <si>
    <t>1Z1882X38791263180</t>
  </si>
  <si>
    <t>1Z1882X30298177036</t>
  </si>
  <si>
    <t>807-280-629</t>
  </si>
  <si>
    <t>1Z1882X38797881537</t>
  </si>
  <si>
    <t>1Z1882X30290212225</t>
  </si>
  <si>
    <t>807-217-227</t>
  </si>
  <si>
    <t>1Z1882X38792551536</t>
  </si>
  <si>
    <t>1Z1882X30190498125</t>
  </si>
  <si>
    <t>Dutch Bros UT0803</t>
  </si>
  <si>
    <t>807-210-254</t>
  </si>
  <si>
    <t>1Z1882X38797411964</t>
  </si>
  <si>
    <t>1Z1882X30193428516</t>
  </si>
  <si>
    <t>Dutch Bros TX5104</t>
  </si>
  <si>
    <t>807-555-183</t>
  </si>
  <si>
    <t>1Z1882X38797809008</t>
  </si>
  <si>
    <t>1Z1882X30196988791</t>
  </si>
  <si>
    <t>Desiree</t>
  </si>
  <si>
    <t>Johansen</t>
  </si>
  <si>
    <t>Dutch Bros Store# CA6902</t>
  </si>
  <si>
    <t>807-210-207</t>
  </si>
  <si>
    <t>1Z1882X38793971152</t>
  </si>
  <si>
    <t>1Z1882X30199196079</t>
  </si>
  <si>
    <t>Dutch Bros CA4104</t>
  </si>
  <si>
    <t>807-525-426</t>
  </si>
  <si>
    <t>1Z1882X38793497684</t>
  </si>
  <si>
    <t>1Z1882X30199814776</t>
  </si>
  <si>
    <t>807-613-391</t>
  </si>
  <si>
    <t>1Z1882X38795100633</t>
  </si>
  <si>
    <t>1Z1882X30195115823</t>
  </si>
  <si>
    <t>Dutch Bros OR3401</t>
  </si>
  <si>
    <t>807-239-125</t>
  </si>
  <si>
    <t>1Z1882X38794685040</t>
  </si>
  <si>
    <t>1Z1882X30196095906</t>
  </si>
  <si>
    <t>Chloe</t>
  </si>
  <si>
    <t>Burright</t>
  </si>
  <si>
    <t>Dutch Bros TX0801</t>
  </si>
  <si>
    <t>807-394-996</t>
  </si>
  <si>
    <t>1Z1882X38793887520</t>
  </si>
  <si>
    <t>1Z1882X30190925912</t>
  </si>
  <si>
    <t>Dutch Bros TN0702</t>
  </si>
  <si>
    <t>807-258-500</t>
  </si>
  <si>
    <t>1Z1882X38796851160</t>
  </si>
  <si>
    <t>1Z1882X30194013855</t>
  </si>
  <si>
    <t>807-363-634</t>
  </si>
  <si>
    <t>1Z1882X30196201415</t>
  </si>
  <si>
    <t>McKenna</t>
  </si>
  <si>
    <t>Hanson</t>
  </si>
  <si>
    <t>Dutch Bro's Store TX4103</t>
  </si>
  <si>
    <t>807-245-302</t>
  </si>
  <si>
    <t>1Z1882X30196377692</t>
  </si>
  <si>
    <t>807-239-957</t>
  </si>
  <si>
    <t>1Z1882X30193646736</t>
  </si>
  <si>
    <t>807-288-582</t>
  </si>
  <si>
    <t>806-706-145</t>
  </si>
  <si>
    <t>1Z1882X38792263884</t>
  </si>
  <si>
    <t>1Z1882X30196370028</t>
  </si>
  <si>
    <t>Dutch Bros TX1907</t>
  </si>
  <si>
    <t>807-226-120</t>
  </si>
  <si>
    <t>807-239-111</t>
  </si>
  <si>
    <t>1Z1882X38798786264</t>
  </si>
  <si>
    <t>807-233-145</t>
  </si>
  <si>
    <t>807-614-082</t>
  </si>
  <si>
    <t>807-245-437</t>
  </si>
  <si>
    <t>1Z1882X38795869484</t>
  </si>
  <si>
    <t>806-325-067</t>
  </si>
  <si>
    <t>1Z1882X38791946997</t>
  </si>
  <si>
    <t>1Z1882X30191490783</t>
  </si>
  <si>
    <t>806-318-116</t>
  </si>
  <si>
    <t>1Z1882X38793057328</t>
  </si>
  <si>
    <t>1Z1882X30197911218</t>
  </si>
  <si>
    <t>807-233-904</t>
  </si>
  <si>
    <t>807-049-540</t>
  </si>
  <si>
    <t>1Z1882X38791007671</t>
  </si>
  <si>
    <t>1Z1882X30198363176</t>
  </si>
  <si>
    <t>807-074-403</t>
  </si>
  <si>
    <t>1Z1882X38797739736</t>
  </si>
  <si>
    <t>1Z1882X30196732922</t>
  </si>
  <si>
    <t>Cesar</t>
  </si>
  <si>
    <t>Godoy</t>
  </si>
  <si>
    <t>Dutch Bros Store# IN0704</t>
  </si>
  <si>
    <t>807-074-515</t>
  </si>
  <si>
    <t>1Z1882X38797938584</t>
  </si>
  <si>
    <t>1Z1882X30194855893</t>
  </si>
  <si>
    <t>Dutch Bros UT0702</t>
  </si>
  <si>
    <t>807-226-387</t>
  </si>
  <si>
    <t>1Z1882X38790931718</t>
  </si>
  <si>
    <t>1Z1882X30192185905</t>
  </si>
  <si>
    <t>807-525-305</t>
  </si>
  <si>
    <t>1Z1882X38798192940</t>
  </si>
  <si>
    <t>1Z1882X30195277935</t>
  </si>
  <si>
    <t>807-074-634</t>
  </si>
  <si>
    <t>1Z1882X38799867684</t>
  </si>
  <si>
    <t>1Z1882X38799869684</t>
  </si>
  <si>
    <t>1Z1882X30193122373</t>
  </si>
  <si>
    <t>Dutch Bros Store# GA0103</t>
  </si>
  <si>
    <t>807-074-625</t>
  </si>
  <si>
    <t>1Z1882X38796521365</t>
  </si>
  <si>
    <t>1Z1882X38795521365</t>
  </si>
  <si>
    <t>1Z1882X30195549954</t>
  </si>
  <si>
    <t>807-274-976</t>
  </si>
  <si>
    <t>1Z1882X38797671568</t>
  </si>
  <si>
    <t>1Z1882X30192869060</t>
  </si>
  <si>
    <t>807-233-366</t>
  </si>
  <si>
    <t>1Z1882X38798921876</t>
  </si>
  <si>
    <t>1Z1882X38790691997</t>
  </si>
  <si>
    <t>1Z1882X30191437760</t>
  </si>
  <si>
    <t>Dutch Bro's Store TX0912</t>
  </si>
  <si>
    <t>807-239-023</t>
  </si>
  <si>
    <t>1Z1882X38799563752</t>
  </si>
  <si>
    <t>1Z1882X30195748542</t>
  </si>
  <si>
    <t>Dutch Bros TX4501</t>
  </si>
  <si>
    <t>807-069-308</t>
  </si>
  <si>
    <t>1Z1882X38793037475</t>
  </si>
  <si>
    <t>1Z1882X30199330744</t>
  </si>
  <si>
    <t>Dutch Bros Store# IL0103</t>
  </si>
  <si>
    <t>807-614-164</t>
  </si>
  <si>
    <t>1Z1882X38798602809</t>
  </si>
  <si>
    <t>1Z1882X30197586599</t>
  </si>
  <si>
    <t>807-621-419</t>
  </si>
  <si>
    <t>1Z1882X38790904613</t>
  </si>
  <si>
    <t>1Z1882X30197518724</t>
  </si>
  <si>
    <t>INC4854017</t>
  </si>
  <si>
    <t>INC4854016</t>
  </si>
  <si>
    <t>INC4854005</t>
  </si>
  <si>
    <t>INC4854004</t>
  </si>
  <si>
    <t>INC4853922</t>
  </si>
  <si>
    <t>INC4853921</t>
  </si>
  <si>
    <t>INC4853829</t>
  </si>
  <si>
    <t>INC4853828</t>
  </si>
  <si>
    <t>INC4853827</t>
  </si>
  <si>
    <t>INC4853826</t>
  </si>
  <si>
    <t>INC4853823</t>
  </si>
  <si>
    <t>INC4853822</t>
  </si>
  <si>
    <t>INC4853821</t>
  </si>
  <si>
    <t>INC4853820</t>
  </si>
  <si>
    <t>INC4853819</t>
  </si>
  <si>
    <t>INC4853818</t>
  </si>
  <si>
    <t>INC4853743</t>
  </si>
  <si>
    <t>INC4853591</t>
  </si>
  <si>
    <t>INC4853588</t>
  </si>
  <si>
    <t>INC4853587</t>
  </si>
  <si>
    <t>INC4853586</t>
  </si>
  <si>
    <t>INC4853529</t>
  </si>
  <si>
    <t>INC4853527</t>
  </si>
  <si>
    <t>INC4853525</t>
  </si>
  <si>
    <t>INC4853524</t>
  </si>
  <si>
    <t>INC4853522</t>
  </si>
  <si>
    <t>INC4853523</t>
  </si>
  <si>
    <t>INC4853496</t>
  </si>
  <si>
    <t>INC4853495</t>
  </si>
  <si>
    <t>INC4853494</t>
  </si>
  <si>
    <t>INC4853493</t>
  </si>
  <si>
    <t>INC4853492</t>
  </si>
  <si>
    <t>INC4853490</t>
  </si>
  <si>
    <t>INC4853491</t>
  </si>
  <si>
    <t>INC4853489</t>
  </si>
  <si>
    <t>INC4853488</t>
  </si>
  <si>
    <t>INC4853487</t>
  </si>
  <si>
    <t>INC4853471</t>
  </si>
  <si>
    <t>INC4853464</t>
  </si>
  <si>
    <t>INC4853456</t>
  </si>
  <si>
    <t>INC4853451</t>
  </si>
  <si>
    <t>INC4853449</t>
  </si>
  <si>
    <t>INC4853448</t>
  </si>
  <si>
    <t>INC4853447</t>
  </si>
  <si>
    <t>INC4853446</t>
  </si>
  <si>
    <t>INC4853445</t>
  </si>
  <si>
    <t>INC4853444</t>
  </si>
  <si>
    <t>INC4853443</t>
  </si>
  <si>
    <t>INC4853442</t>
  </si>
  <si>
    <t>INC4853439</t>
  </si>
  <si>
    <t>INC4853438</t>
  </si>
  <si>
    <t>INC4853437</t>
  </si>
  <si>
    <t>INC4853436</t>
  </si>
  <si>
    <t>INC4853435</t>
  </si>
  <si>
    <t>INC4853434</t>
  </si>
  <si>
    <t>INC4853432</t>
  </si>
  <si>
    <t>INC4853433</t>
  </si>
  <si>
    <t>INC4853431</t>
  </si>
  <si>
    <t>INC4853430</t>
  </si>
  <si>
    <t>INC4853429</t>
  </si>
  <si>
    <t>INC4853428</t>
  </si>
  <si>
    <t>INC4853193</t>
  </si>
  <si>
    <t>INC4853189</t>
  </si>
  <si>
    <t>INC4852775</t>
  </si>
  <si>
    <t>INC4852771</t>
  </si>
  <si>
    <t>INC4852750</t>
  </si>
  <si>
    <t>INC4852745</t>
  </si>
  <si>
    <t>INC4852744</t>
  </si>
  <si>
    <t>INC4852704</t>
  </si>
  <si>
    <t>INC4852695</t>
  </si>
  <si>
    <t>INC4852648</t>
  </si>
  <si>
    <t>INC4852647</t>
  </si>
  <si>
    <t>INC4852640</t>
  </si>
  <si>
    <t>INC4852637</t>
  </si>
  <si>
    <t>INC4852599</t>
  </si>
  <si>
    <t>INC4852598</t>
  </si>
  <si>
    <t>INC4852452</t>
  </si>
  <si>
    <t>INC4852450</t>
  </si>
  <si>
    <t>INC4852439</t>
  </si>
  <si>
    <t>INC4852437</t>
  </si>
  <si>
    <t>INC4852360</t>
  </si>
  <si>
    <t>INC4852316</t>
  </si>
  <si>
    <t>INC4852314</t>
  </si>
  <si>
    <t>INC4852298</t>
  </si>
  <si>
    <t>INC4852297</t>
  </si>
  <si>
    <t>INC4852296</t>
  </si>
  <si>
    <t>INC4852295</t>
  </si>
  <si>
    <t>INC4852257</t>
  </si>
  <si>
    <t>INC4852256</t>
  </si>
  <si>
    <t>INC4852241</t>
  </si>
  <si>
    <t>INC4852240</t>
  </si>
  <si>
    <t>INC4852206</t>
  </si>
  <si>
    <t>INC4852030</t>
  </si>
  <si>
    <t>INC4852025</t>
  </si>
  <si>
    <t>INC4851970</t>
  </si>
  <si>
    <t>INC4851969</t>
  </si>
  <si>
    <t>INC4851968</t>
  </si>
  <si>
    <t>INC4851967</t>
  </si>
  <si>
    <t>INC4851966</t>
  </si>
  <si>
    <t>INC4851965</t>
  </si>
  <si>
    <t>INC4851964</t>
  </si>
  <si>
    <t>INC4851922</t>
  </si>
  <si>
    <t>INC4851891</t>
  </si>
  <si>
    <t>INC4851890</t>
  </si>
  <si>
    <t>INC4851800</t>
  </si>
  <si>
    <t>INC4851799</t>
  </si>
  <si>
    <t>INC4851747</t>
  </si>
  <si>
    <t>INC4851701</t>
  </si>
  <si>
    <t>INC4851656</t>
  </si>
  <si>
    <t>INC4851593</t>
  </si>
  <si>
    <t>INC4851581</t>
  </si>
  <si>
    <t>INC4851582</t>
  </si>
  <si>
    <t>INC4851580</t>
  </si>
  <si>
    <t>INC4851556</t>
  </si>
  <si>
    <t>INC4851555</t>
  </si>
  <si>
    <t>INC4851508</t>
  </si>
  <si>
    <t>INC4851507</t>
  </si>
  <si>
    <t>INC4851506</t>
  </si>
  <si>
    <t>INC4851504</t>
  </si>
  <si>
    <t>INC4851500</t>
  </si>
  <si>
    <t>INC4851498</t>
  </si>
  <si>
    <t>INC4851497</t>
  </si>
  <si>
    <t>INC4851476</t>
  </si>
  <si>
    <t>INC4851475</t>
  </si>
  <si>
    <t>INC4851437</t>
  </si>
  <si>
    <t>INC4851436</t>
  </si>
  <si>
    <t>INC4851255</t>
  </si>
  <si>
    <t>INC4851254</t>
  </si>
  <si>
    <t>INC4851252</t>
  </si>
  <si>
    <t>INC4851251</t>
  </si>
  <si>
    <t>INC4851250</t>
  </si>
  <si>
    <t>INC4851248</t>
  </si>
  <si>
    <t>INC4851247</t>
  </si>
  <si>
    <t>INC4851242</t>
  </si>
  <si>
    <t>INC4851237</t>
  </si>
  <si>
    <t>INC4851229</t>
  </si>
  <si>
    <t>INC4851078</t>
  </si>
  <si>
    <t>INC4851076</t>
  </si>
  <si>
    <t>INC4850999</t>
  </si>
  <si>
    <t>INC4850998</t>
  </si>
  <si>
    <t>INC4850863</t>
  </si>
  <si>
    <t>INC4850862</t>
  </si>
  <si>
    <t>INC4850852</t>
  </si>
  <si>
    <t>INC4850851</t>
  </si>
  <si>
    <t>INC4850850</t>
  </si>
  <si>
    <t>INC4850849</t>
  </si>
  <si>
    <t>INC4850821</t>
  </si>
  <si>
    <t>INC4850820</t>
  </si>
  <si>
    <t>INC4850721</t>
  </si>
  <si>
    <t>INC4850689</t>
  </si>
  <si>
    <t>INC4850688</t>
  </si>
  <si>
    <t>INC4850631</t>
  </si>
  <si>
    <t>INC4850628</t>
  </si>
  <si>
    <t>INC4850621</t>
  </si>
  <si>
    <t>INC4850620</t>
  </si>
  <si>
    <t>INC4850617</t>
  </si>
  <si>
    <t>INC4850603</t>
  </si>
  <si>
    <t>INC4850602</t>
  </si>
  <si>
    <t>INC4850557</t>
  </si>
  <si>
    <t>INC4850556</t>
  </si>
  <si>
    <t>INC4850519</t>
  </si>
  <si>
    <t>INC4850518</t>
  </si>
  <si>
    <t>INC4850513</t>
  </si>
  <si>
    <t>INC4850512</t>
  </si>
  <si>
    <t>INC4850425</t>
  </si>
  <si>
    <t>INC4850326</t>
  </si>
  <si>
    <t>INC4850325</t>
  </si>
  <si>
    <t>INC4850318</t>
  </si>
  <si>
    <t>INC4850158</t>
  </si>
  <si>
    <t>INC4850079</t>
  </si>
  <si>
    <t>INC4850061</t>
  </si>
  <si>
    <t>INC4850060</t>
  </si>
  <si>
    <t>INC4849960</t>
  </si>
  <si>
    <t>INC4849940</t>
  </si>
  <si>
    <t>INC4849921</t>
  </si>
  <si>
    <t>INC4849912</t>
  </si>
  <si>
    <t>INC4849908</t>
  </si>
  <si>
    <t>INC4849887</t>
  </si>
  <si>
    <t>INC4849856</t>
  </si>
  <si>
    <t>INC4849827</t>
  </si>
  <si>
    <t>INC4849805</t>
  </si>
  <si>
    <t>INC4849804</t>
  </si>
  <si>
    <t>INC4849797</t>
  </si>
  <si>
    <t>INC4849728</t>
  </si>
  <si>
    <t>INC4849707</t>
  </si>
  <si>
    <t>INC4849705</t>
  </si>
  <si>
    <t>INC4849660</t>
  </si>
  <si>
    <t>INC4849638</t>
  </si>
  <si>
    <t>INC4849602</t>
  </si>
  <si>
    <t>INC4849582</t>
  </si>
  <si>
    <t>INC4849580</t>
  </si>
  <si>
    <t>INC4849578</t>
  </si>
  <si>
    <t>INC4849553</t>
  </si>
  <si>
    <t>INC4849552</t>
  </si>
  <si>
    <t>INC4849439</t>
  </si>
  <si>
    <t>INC4849418</t>
  </si>
  <si>
    <t>INC4849402</t>
  </si>
  <si>
    <t>INC4849392</t>
  </si>
  <si>
    <t>INC4849333</t>
  </si>
  <si>
    <t>INC4849332</t>
  </si>
  <si>
    <t>INC4849316</t>
  </si>
  <si>
    <t>INC4849310</t>
  </si>
  <si>
    <t>INC4849160</t>
  </si>
  <si>
    <t>Dutch Bros Portal Issues</t>
  </si>
  <si>
    <t>INC4849163</t>
  </si>
  <si>
    <t>INC4849135</t>
  </si>
  <si>
    <t>INC4849102</t>
  </si>
  <si>
    <t>INC4848993</t>
  </si>
  <si>
    <t>INC4848859</t>
  </si>
  <si>
    <t>INC4848806</t>
  </si>
  <si>
    <t>INC4848804</t>
  </si>
  <si>
    <t>INC4848790</t>
  </si>
  <si>
    <t>INC4848732</t>
  </si>
  <si>
    <t>INC4848720</t>
  </si>
  <si>
    <t>INC4848712</t>
  </si>
  <si>
    <t>INC4848711</t>
  </si>
  <si>
    <t>INC4848698</t>
  </si>
  <si>
    <t>INC4848697</t>
  </si>
  <si>
    <t>INC4848696</t>
  </si>
  <si>
    <t>INC4848678</t>
  </si>
  <si>
    <t>INC4848621</t>
  </si>
  <si>
    <t>INC4848593</t>
  </si>
  <si>
    <t>INC4848572</t>
  </si>
  <si>
    <t>INC4848541</t>
  </si>
  <si>
    <t>INC4848522</t>
  </si>
  <si>
    <t>INC4848507</t>
  </si>
  <si>
    <t>INC4848506</t>
  </si>
  <si>
    <t>INC4848483</t>
  </si>
  <si>
    <t>INC4848482</t>
  </si>
  <si>
    <t>INC4848481</t>
  </si>
  <si>
    <t>INC4848479</t>
  </si>
  <si>
    <t>INC4848478</t>
  </si>
  <si>
    <t>INC4848477</t>
  </si>
  <si>
    <t>INC4848471</t>
  </si>
  <si>
    <t>INC4848470</t>
  </si>
  <si>
    <t>INC4848468</t>
  </si>
  <si>
    <t>INC4848462</t>
  </si>
  <si>
    <t>INC4848440</t>
  </si>
  <si>
    <t>INC4848437</t>
  </si>
  <si>
    <t>INC4848417</t>
  </si>
  <si>
    <t>INC4848416</t>
  </si>
  <si>
    <t>INC4848415</t>
  </si>
  <si>
    <t>INC4848410</t>
  </si>
  <si>
    <t>INC4848386</t>
  </si>
  <si>
    <t>AZ0634</t>
  </si>
  <si>
    <t>INC4848235</t>
  </si>
  <si>
    <t>INC4848339</t>
  </si>
  <si>
    <t>OR1110</t>
  </si>
  <si>
    <t>INC4848355</t>
  </si>
  <si>
    <t>INC4848350</t>
  </si>
  <si>
    <t>INC4848342</t>
  </si>
  <si>
    <t>INC4848234</t>
  </si>
  <si>
    <t>Dutch Bros -- Software -- Xenial -- Unable to Setup POS</t>
  </si>
  <si>
    <t>Unable to Setup POS</t>
  </si>
  <si>
    <t>Setup Request</t>
  </si>
  <si>
    <t>INC4848333</t>
  </si>
  <si>
    <t>INC4848262</t>
  </si>
  <si>
    <t>Dutch Bros -- Hardware -- iPad 10.2 -- Touchscreen Unresponsive</t>
  </si>
  <si>
    <t>INC4848271</t>
  </si>
  <si>
    <t>INC4848270</t>
  </si>
  <si>
    <t>INC4848269</t>
  </si>
  <si>
    <t>INC4848268</t>
  </si>
  <si>
    <t>INC4848267</t>
  </si>
  <si>
    <t>INC4848265</t>
  </si>
  <si>
    <t>INC4848258</t>
  </si>
  <si>
    <t>INC4848251</t>
  </si>
  <si>
    <t>INC4848250</t>
  </si>
  <si>
    <t>INC4848249</t>
  </si>
  <si>
    <t>INC4848248</t>
  </si>
  <si>
    <t>INC4848247</t>
  </si>
  <si>
    <t>INC4848246</t>
  </si>
  <si>
    <t>INC4848242</t>
  </si>
  <si>
    <t>INC4848213</t>
  </si>
  <si>
    <t>INC4848202</t>
  </si>
  <si>
    <t>INC4848178</t>
  </si>
  <si>
    <t>INC4848181</t>
  </si>
  <si>
    <t>INC4848180</t>
  </si>
  <si>
    <t>INC4848177</t>
  </si>
  <si>
    <t>INC4848176</t>
  </si>
  <si>
    <t>INC4848130</t>
  </si>
  <si>
    <t>INC4848128</t>
  </si>
  <si>
    <t>INC4848127</t>
  </si>
  <si>
    <t>INC4848126</t>
  </si>
  <si>
    <t>INC4848125</t>
  </si>
  <si>
    <t>INC4848124</t>
  </si>
  <si>
    <t>INC4848113</t>
  </si>
  <si>
    <t>INC4848112</t>
  </si>
  <si>
    <t>INC4848094</t>
  </si>
  <si>
    <t>INC4848074</t>
  </si>
  <si>
    <t>SC0701</t>
  </si>
  <si>
    <t>INC4848091</t>
  </si>
  <si>
    <t>INC4848016</t>
  </si>
  <si>
    <t>INC4848008</t>
  </si>
  <si>
    <t>INC4848014</t>
  </si>
  <si>
    <t>INC4848007</t>
  </si>
  <si>
    <t>INC4848006</t>
  </si>
  <si>
    <t>INC4847998</t>
  </si>
  <si>
    <t>INC4847997</t>
  </si>
  <si>
    <t>INC4847993</t>
  </si>
  <si>
    <t>INC4847992</t>
  </si>
  <si>
    <t>INC4847983</t>
  </si>
  <si>
    <t>INC4847982</t>
  </si>
  <si>
    <t>INC4847952</t>
  </si>
  <si>
    <t>INC4847951</t>
  </si>
  <si>
    <t>INC4847905</t>
  </si>
  <si>
    <t>INC4847903</t>
  </si>
  <si>
    <t>INC4847897</t>
  </si>
  <si>
    <t>INC4847889</t>
  </si>
  <si>
    <t>INC4847887</t>
  </si>
  <si>
    <t>INC4847880</t>
  </si>
  <si>
    <t>INC4847842</t>
  </si>
  <si>
    <t>DB0000001</t>
  </si>
  <si>
    <t>INC4847809</t>
  </si>
  <si>
    <t>INC4847808</t>
  </si>
  <si>
    <t>INC4847806</t>
  </si>
  <si>
    <t>INC4847801</t>
  </si>
  <si>
    <t>INC4847768</t>
  </si>
  <si>
    <t>INC4847764</t>
  </si>
  <si>
    <t>INC4847762</t>
  </si>
  <si>
    <t>INC4847761</t>
  </si>
  <si>
    <t>INC4847760</t>
  </si>
  <si>
    <t>INC4847759</t>
  </si>
  <si>
    <t>INC4847746</t>
  </si>
  <si>
    <t>INC4847740</t>
  </si>
  <si>
    <t>INC4847713</t>
  </si>
  <si>
    <t>INC4847722</t>
  </si>
  <si>
    <t>INC4847721</t>
  </si>
  <si>
    <t>INC4847714</t>
  </si>
  <si>
    <t>INC4847681</t>
  </si>
  <si>
    <t>INC4847680</t>
  </si>
  <si>
    <t>INC4847668</t>
  </si>
  <si>
    <t>INC4847672</t>
  </si>
  <si>
    <t>INC4847671</t>
  </si>
  <si>
    <t>INC4847660</t>
  </si>
  <si>
    <t>AZ1102</t>
  </si>
  <si>
    <t>INC4847617</t>
  </si>
  <si>
    <t>INC4847575</t>
  </si>
  <si>
    <t>INC4847574</t>
  </si>
  <si>
    <t>INC4847564</t>
  </si>
  <si>
    <t>INC4847543</t>
  </si>
  <si>
    <t>INC4847542</t>
  </si>
  <si>
    <t>Damaged Buttons</t>
  </si>
  <si>
    <t>Returned Serial</t>
  </si>
  <si>
    <t>Date Replaced</t>
  </si>
  <si>
    <t>Replacement Serial</t>
  </si>
  <si>
    <t>806-318-265</t>
  </si>
  <si>
    <t>807-188-534</t>
  </si>
  <si>
    <t>807-256-076</t>
  </si>
  <si>
    <t>807-233-026</t>
  </si>
  <si>
    <t>807-050-217</t>
  </si>
  <si>
    <t>807-239-947</t>
  </si>
  <si>
    <t>807-280-393</t>
  </si>
  <si>
    <t>807-280-034</t>
  </si>
  <si>
    <t>807-363-530</t>
  </si>
  <si>
    <t>807-188-474</t>
  </si>
  <si>
    <t>807-074-995</t>
  </si>
  <si>
    <t>807-183-350</t>
  </si>
  <si>
    <t>807-529-493</t>
  </si>
  <si>
    <t>860-118-785</t>
  </si>
  <si>
    <t>402-005-596</t>
  </si>
  <si>
    <t>805-918-462</t>
  </si>
  <si>
    <t>860-058-581</t>
  </si>
  <si>
    <t>809-002-768</t>
  </si>
  <si>
    <t>807-183-340</t>
  </si>
  <si>
    <t>402-004-873</t>
  </si>
  <si>
    <t>807-555-333</t>
  </si>
  <si>
    <t>807-245-447</t>
  </si>
  <si>
    <t>807-262-508</t>
  </si>
  <si>
    <t>806-987-206</t>
  </si>
  <si>
    <t>805-156-797</t>
  </si>
  <si>
    <t>402-004-825</t>
  </si>
  <si>
    <t>806-318-368</t>
  </si>
  <si>
    <t>E285s Shipped</t>
  </si>
  <si>
    <t xml:space="preserve">Sep Final </t>
  </si>
  <si>
    <t xml:space="preserve">Aug Final </t>
  </si>
  <si>
    <t xml:space="preserve">Final install base for each month is calculated on the 1st business day of the month following using all assets that show as "In the field", in "Spare Pool" and customer owned devices that are being held prior to reshipment when the shop wasn't able to accept the original shipment. </t>
  </si>
  <si>
    <t>Replacements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</si>
</sst>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5">
    <numFmt numFmtId="44" formatCode="_(&quot;$&quot;* #,##0.00_);_(&quot;$&quot;* \(#,##0.00\);_(&quot;$&quot;* &quot;-&quot;??_);_(@_)"/>
    <numFmt numFmtId="164" formatCode="0.0%"/>
    <numFmt numFmtId="165" formatCode="&quot;$&quot;#,##0.00"/>
    <numFmt numFmtId="166" formatCode="&quot;$&quot;#,##0"/>
    <numFmt numFmtId="167" formatCode="_([$$-409]* #,##0.00_);_([$$-409]* \(#,##0.00\);_([$$-409]* &quot;-&quot;??_);_(@_)"/>
  </numFmts>
  <fonts count="14" x14ac:knownFonts="1">
    <font>
      <sz val="11"/>
      <color theme="1"/>
      <name val="Calibri"/>
      <family val="2"/>
      <scheme val="minor"/>
    </font>
    <font>
      <sz val="11"/>
      <color theme="1"/>
      <name val="Calibri"/>
      <family val="2"/>
      <scheme val="minor"/>
    </font>
    <font>
      <b/>
      <sz val="11"/>
      <color theme="0"/>
      <name val="Calibri"/>
      <family val="2"/>
      <scheme val="minor"/>
    </font>
    <font>
      <sz val="11"/>
      <color rgb="FFFF0000"/>
      <name val="Calibri"/>
      <family val="2"/>
      <scheme val="minor"/>
    </font>
    <font>
      <b/>
      <sz val="11"/>
      <color theme="1"/>
      <name val="Calibri"/>
      <family val="2"/>
      <scheme val="minor"/>
    </font>
    <font>
      <b/>
      <sz val="8"/>
      <color theme="1"/>
      <name val="Calibri"/>
      <family val="2"/>
      <scheme val="minor"/>
    </font>
    <font>
      <sz val="11"/>
      <color rgb="FF000000"/>
      <name val="Calibri"/>
      <family val="2"/>
      <scheme val="minor"/>
    </font>
    <font>
      <b/>
      <sz val="11"/>
      <color rgb="FF000000"/>
      <name val="Calibri"/>
      <family val="2"/>
      <scheme val="minor"/>
    </font>
    <font>
      <b/>
      <sz val="11"/>
      <color rgb="FF525252"/>
      <name val="Calibri"/>
      <family val="2"/>
      <scheme val="minor"/>
    </font>
    <font>
      <sz val="8"/>
      <color rgb="FF000000"/>
      <name val="Calibri"/>
      <family val="2"/>
      <scheme val="minor"/>
    </font>
    <font>
      <sz val="9"/>
      <color theme="1"/>
      <name val="Calibri"/>
      <family val="2"/>
      <scheme val="minor"/>
    </font>
    <font>
      <sz val="8"/>
      <color theme="1"/>
      <name val="Calibri"/>
      <family val="2"/>
      <scheme val="minor"/>
    </font>
    <font>
      <sz val="11"/>
      <color indexed="8"/>
      <name val="Calibri"/>
      <family val="2"/>
      <scheme val="minor"/>
    </font>
    <font>
      <sz val="8"/>
      <name val="Calibri"/>
      <family val="2"/>
      <scheme val="minor"/>
    </font>
  </fonts>
  <fills count="8">
    <fill>
      <patternFill patternType="none"/>
    </fill>
    <fill>
      <patternFill patternType="gray125"/>
    </fill>
    <fill>
      <patternFill patternType="solid">
        <fgColor theme="4"/>
        <bgColor indexed="64"/>
      </patternFill>
    </fill>
    <fill>
      <patternFill patternType="solid">
        <fgColor theme="0"/>
        <bgColor indexed="64"/>
      </patternFill>
    </fill>
    <fill>
      <patternFill patternType="solid">
        <fgColor theme="4" tint="0.79998168889431442"/>
        <bgColor indexed="64"/>
      </patternFill>
    </fill>
    <fill>
      <patternFill patternType="solid">
        <fgColor theme="4" tint="0.79998168889431442"/>
        <bgColor rgb="FF000000"/>
      </patternFill>
    </fill>
    <fill>
      <patternFill patternType="solid">
        <fgColor theme="0" tint="-4.9989318521683403E-2"/>
        <bgColor indexed="64"/>
      </patternFill>
    </fill>
    <fill>
      <patternFill patternType="solid">
        <fgColor theme="2"/>
        <bgColor indexed="64"/>
      </patternFill>
    </fill>
  </fills>
  <borders count="8">
    <border>
      <left/>
      <right/>
      <top/>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right/>
      <top style="thin">
        <color indexed="64"/>
      </top>
      <bottom style="thin">
        <color indexed="64"/>
      </bottom>
      <diagonal/>
    </border>
    <border>
      <left/>
      <right style="thin">
        <color indexed="64"/>
      </right>
      <top style="thin">
        <color indexed="64"/>
      </top>
      <bottom style="thin">
        <color indexed="64"/>
      </bottom>
      <diagonal/>
    </border>
    <border>
      <left style="thin">
        <color indexed="64"/>
      </left>
      <right style="thin">
        <color indexed="64"/>
      </right>
      <top/>
      <bottom/>
      <diagonal/>
    </border>
    <border>
      <left/>
      <right/>
      <top/>
      <bottom style="thin">
        <color indexed="64"/>
      </bottom>
      <diagonal/>
    </border>
    <border>
      <left style="thin">
        <color rgb="FF000000"/>
      </left>
      <right style="thin">
        <color rgb="FF000000"/>
      </right>
      <top style="thin">
        <color rgb="FF000000"/>
      </top>
      <bottom/>
      <diagonal/>
    </border>
  </borders>
  <cellStyleXfs count="4">
    <xf numFmtId="0" fontId="0" fillId="0" borderId="0"/>
    <xf numFmtId="9" fontId="1" fillId="0" borderId="0" applyFont="0" applyFill="0" applyBorder="0" applyAlignment="0" applyProtection="0"/>
    <xf numFmtId="44" fontId="1" fillId="0" borderId="0" applyFont="0" applyFill="0" applyBorder="0" applyAlignment="0" applyProtection="0"/>
    <xf numFmtId="0" fontId="12" fillId="0" borderId="0"/>
  </cellStyleXfs>
  <cellXfs count="72">
    <xf numFmtId="0" fontId="0" fillId="0" borderId="0" xfId="0"/>
    <xf numFmtId="9" fontId="2" fillId="2" borderId="1" xfId="0" applyNumberFormat="1" applyFont="1" applyFill="1" applyBorder="1" applyAlignment="1">
      <alignment horizontal="center" vertical="center" wrapText="1"/>
    </xf>
    <xf numFmtId="9" fontId="5" fillId="0" borderId="0" xfId="0" applyNumberFormat="1" applyFont="1" applyAlignment="1">
      <alignment horizontal="center" vertical="center" wrapText="1"/>
    </xf>
    <xf numFmtId="0" fontId="0" fillId="0" borderId="1" xfId="0" applyBorder="1" applyAlignment="1">
      <alignment horizontal="center" vertical="center"/>
    </xf>
    <xf numFmtId="1" fontId="0" fillId="0" borderId="1" xfId="0" applyNumberFormat="1" applyBorder="1" applyAlignment="1">
      <alignment horizontal="center" vertical="center"/>
    </xf>
    <xf numFmtId="9" fontId="0" fillId="0" borderId="1" xfId="0" applyNumberFormat="1" applyBorder="1" applyAlignment="1">
      <alignment horizontal="center" vertical="center"/>
    </xf>
    <xf numFmtId="164" fontId="0" fillId="0" borderId="1" xfId="0" applyNumberFormat="1" applyBorder="1" applyAlignment="1">
      <alignment horizontal="center" vertical="center"/>
    </xf>
    <xf numFmtId="0" fontId="2" fillId="2" borderId="1" xfId="0" applyFont="1" applyFill="1" applyBorder="1"/>
    <xf numFmtId="0" fontId="2" fillId="2" borderId="1" xfId="0" applyFont="1" applyFill="1" applyBorder="1" applyAlignment="1">
      <alignment horizontal="center"/>
    </xf>
    <xf numFmtId="164" fontId="2" fillId="2" borderId="1" xfId="0" applyNumberFormat="1" applyFont="1" applyFill="1" applyBorder="1" applyAlignment="1">
      <alignment horizontal="center"/>
    </xf>
    <xf numFmtId="164" fontId="0" fillId="0" borderId="0" xfId="1" applyNumberFormat="1" applyFont="1" applyAlignment="1">
      <alignment horizontal="center"/>
    </xf>
    <xf numFmtId="0" fontId="0" fillId="0" borderId="0" xfId="0" applyAlignment="1">
      <alignment horizontal="center"/>
    </xf>
    <xf numFmtId="0" fontId="6" fillId="0" borderId="1" xfId="0" applyFont="1" applyBorder="1" applyAlignment="1">
      <alignment horizontal="center"/>
    </xf>
    <xf numFmtId="3" fontId="6" fillId="0" borderId="1" xfId="0" applyNumberFormat="1" applyFont="1" applyBorder="1" applyAlignment="1">
      <alignment horizontal="center"/>
    </xf>
    <xf numFmtId="10" fontId="6" fillId="0" borderId="1" xfId="0" applyNumberFormat="1" applyFont="1" applyBorder="1" applyAlignment="1">
      <alignment horizontal="center"/>
    </xf>
    <xf numFmtId="0" fontId="6" fillId="3" borderId="1" xfId="0" applyFont="1" applyFill="1" applyBorder="1" applyAlignment="1">
      <alignment horizontal="center"/>
    </xf>
    <xf numFmtId="0" fontId="4" fillId="3" borderId="1" xfId="0" applyFont="1" applyFill="1" applyBorder="1" applyAlignment="1">
      <alignment horizontal="center"/>
    </xf>
    <xf numFmtId="0" fontId="7" fillId="4" borderId="1" xfId="0" applyFont="1" applyFill="1" applyBorder="1" applyAlignment="1">
      <alignment horizontal="center" vertical="center"/>
    </xf>
    <xf numFmtId="0" fontId="7" fillId="4" borderId="1" xfId="0" applyFont="1" applyFill="1" applyBorder="1" applyAlignment="1">
      <alignment horizontal="center" vertical="center" wrapText="1"/>
    </xf>
    <xf numFmtId="0" fontId="0" fillId="0" borderId="1" xfId="0" applyBorder="1" applyAlignment="1">
      <alignment horizontal="center"/>
    </xf>
    <xf numFmtId="0" fontId="4" fillId="0" borderId="0" xfId="0" applyFont="1" applyAlignment="1">
      <alignment vertical="center"/>
    </xf>
    <xf numFmtId="0" fontId="4" fillId="4" borderId="1" xfId="0" applyFont="1" applyFill="1" applyBorder="1" applyAlignment="1">
      <alignment horizontal="center" vertical="center"/>
    </xf>
    <xf numFmtId="3" fontId="0" fillId="0" borderId="1" xfId="0" applyNumberFormat="1" applyBorder="1" applyAlignment="1">
      <alignment horizontal="center"/>
    </xf>
    <xf numFmtId="165" fontId="6" fillId="0" borderId="1" xfId="0" applyNumberFormat="1" applyFont="1" applyBorder="1" applyAlignment="1">
      <alignment horizontal="center"/>
    </xf>
    <xf numFmtId="1" fontId="6" fillId="0" borderId="1" xfId="0" applyNumberFormat="1" applyFont="1" applyBorder="1" applyAlignment="1">
      <alignment horizontal="center"/>
    </xf>
    <xf numFmtId="0" fontId="8" fillId="0" borderId="0" xfId="0" applyFont="1"/>
    <xf numFmtId="14" fontId="3" fillId="3" borderId="1" xfId="0" applyNumberFormat="1" applyFont="1" applyFill="1" applyBorder="1" applyAlignment="1">
      <alignment horizontal="center"/>
    </xf>
    <xf numFmtId="3" fontId="0" fillId="0" borderId="1" xfId="0" applyNumberFormat="1" applyBorder="1" applyAlignment="1">
      <alignment horizontal="center" vertical="center"/>
    </xf>
    <xf numFmtId="166" fontId="0" fillId="0" borderId="1" xfId="0" applyNumberFormat="1" applyBorder="1" applyAlignment="1">
      <alignment horizontal="center"/>
    </xf>
    <xf numFmtId="44" fontId="0" fillId="0" borderId="1" xfId="2" applyFont="1" applyBorder="1" applyAlignment="1">
      <alignment horizontal="center"/>
    </xf>
    <xf numFmtId="9" fontId="2" fillId="2" borderId="5" xfId="0" applyNumberFormat="1" applyFont="1" applyFill="1" applyBorder="1" applyAlignment="1">
      <alignment horizontal="center" vertical="center" wrapText="1"/>
    </xf>
    <xf numFmtId="164" fontId="0" fillId="0" borderId="1" xfId="1" applyNumberFormat="1" applyFont="1" applyBorder="1"/>
    <xf numFmtId="0" fontId="0" fillId="0" borderId="6" xfId="0" applyBorder="1"/>
    <xf numFmtId="0" fontId="0" fillId="0" borderId="1" xfId="0" applyBorder="1" applyAlignment="1">
      <alignment horizontal="center" vertical="center" wrapText="1"/>
    </xf>
    <xf numFmtId="164" fontId="2" fillId="2" borderId="1" xfId="1" applyNumberFormat="1" applyFont="1" applyFill="1" applyBorder="1" applyAlignment="1">
      <alignment horizontal="center"/>
    </xf>
    <xf numFmtId="1" fontId="0" fillId="0" borderId="4" xfId="0" applyNumberFormat="1" applyBorder="1" applyAlignment="1">
      <alignment horizontal="center" vertical="center"/>
    </xf>
    <xf numFmtId="165" fontId="6" fillId="0" borderId="0" xfId="0" applyNumberFormat="1" applyFont="1" applyAlignment="1">
      <alignment horizontal="center"/>
    </xf>
    <xf numFmtId="167" fontId="6" fillId="0" borderId="0" xfId="2" applyNumberFormat="1" applyFont="1" applyBorder="1" applyAlignment="1">
      <alignment horizontal="center"/>
    </xf>
    <xf numFmtId="0" fontId="4" fillId="0" borderId="0" xfId="0" applyFont="1" applyAlignment="1">
      <alignment horizontal="center" vertical="center"/>
    </xf>
    <xf numFmtId="0" fontId="0" fillId="0" borderId="0" xfId="0" applyAlignment="1">
      <alignment horizontal="center" vertical="center"/>
    </xf>
    <xf numFmtId="165" fontId="6" fillId="0" borderId="0" xfId="0" applyNumberFormat="1" applyFont="1" applyAlignment="1">
      <alignment horizontal="center" vertical="center"/>
    </xf>
    <xf numFmtId="0" fontId="2" fillId="2" borderId="1" xfId="0" applyFont="1" applyFill="1" applyBorder="1" applyAlignment="1">
      <alignment horizontal="center" vertical="center"/>
    </xf>
    <xf numFmtId="164" fontId="2" fillId="2" borderId="1" xfId="0" applyNumberFormat="1" applyFont="1" applyFill="1" applyBorder="1" applyAlignment="1">
      <alignment horizontal="center" vertical="center"/>
    </xf>
    <xf numFmtId="14" fontId="0" fillId="0" borderId="0" xfId="0" applyNumberFormat="1"/>
    <xf numFmtId="44" fontId="0" fillId="0" borderId="1" xfId="2" applyFont="1" applyBorder="1" applyAlignment="1">
      <alignment horizontal="center" vertical="center"/>
    </xf>
    <xf numFmtId="0" fontId="0" fillId="0" borderId="5" xfId="0" applyBorder="1" applyAlignment="1">
      <alignment horizontal="center"/>
    </xf>
    <xf numFmtId="44" fontId="0" fillId="0" borderId="1" xfId="2" applyFont="1" applyBorder="1" applyAlignment="1">
      <alignment vertical="center"/>
    </xf>
    <xf numFmtId="1" fontId="2" fillId="2" borderId="1" xfId="0" applyNumberFormat="1" applyFont="1" applyFill="1" applyBorder="1"/>
    <xf numFmtId="0" fontId="6" fillId="0" borderId="0" xfId="0" applyFont="1" applyAlignment="1">
      <alignment horizontal="center"/>
    </xf>
    <xf numFmtId="10" fontId="6" fillId="0" borderId="0" xfId="0" applyNumberFormat="1" applyFont="1" applyAlignment="1">
      <alignment horizontal="center"/>
    </xf>
    <xf numFmtId="10" fontId="0" fillId="0" borderId="1" xfId="1" applyNumberFormat="1" applyFont="1" applyBorder="1"/>
    <xf numFmtId="22" fontId="0" fillId="0" borderId="0" xfId="0" applyNumberFormat="1"/>
    <xf numFmtId="0" fontId="6" fillId="0" borderId="7" xfId="0" applyFont="1" applyBorder="1" applyAlignment="1">
      <alignment horizontal="center"/>
    </xf>
    <xf numFmtId="0" fontId="0" fillId="0" borderId="1" xfId="0" applyBorder="1"/>
    <xf numFmtId="0" fontId="0" fillId="4" borderId="1" xfId="0" applyFill="1" applyBorder="1"/>
    <xf numFmtId="14" fontId="0" fillId="4" borderId="1" xfId="0" applyNumberFormat="1" applyFill="1" applyBorder="1"/>
    <xf numFmtId="14" fontId="0" fillId="0" borderId="1" xfId="0" applyNumberFormat="1" applyBorder="1"/>
    <xf numFmtId="16" fontId="6" fillId="0" borderId="1" xfId="0" applyNumberFormat="1" applyFont="1" applyBorder="1" applyAlignment="1">
      <alignment horizontal="center"/>
    </xf>
    <xf numFmtId="16" fontId="0" fillId="0" borderId="1" xfId="0" applyNumberFormat="1" applyBorder="1" applyAlignment="1">
      <alignment horizontal="center"/>
    </xf>
    <xf numFmtId="0" fontId="4" fillId="4" borderId="1" xfId="0" applyFont="1" applyFill="1" applyBorder="1"/>
    <xf numFmtId="0" fontId="6" fillId="6" borderId="1" xfId="0" applyFont="1" applyFill="1" applyBorder="1" applyAlignment="1">
      <alignment horizontal="center"/>
    </xf>
    <xf numFmtId="0" fontId="6" fillId="7" borderId="1" xfId="0" applyFont="1" applyFill="1" applyBorder="1" applyAlignment="1">
      <alignment horizontal="center"/>
    </xf>
    <xf numFmtId="0" fontId="0" fillId="7" borderId="1" xfId="0" applyFill="1" applyBorder="1" applyAlignment="1">
      <alignment horizontal="center"/>
    </xf>
    <xf numFmtId="0" fontId="0" fillId="7" borderId="1" xfId="0" applyFill="1" applyBorder="1" applyAlignment="1">
      <alignment horizontal="center" vertical="center"/>
    </xf>
    <xf numFmtId="0" fontId="0" fillId="4" borderId="1" xfId="0" applyFill="1" applyBorder="1" applyAlignment="1">
      <alignment horizontal="center" vertical="center" wrapText="1"/>
    </xf>
    <xf numFmtId="0" fontId="0" fillId="4" borderId="1" xfId="0" applyFill="1" applyBorder="1" applyAlignment="1">
      <alignment horizontal="center" vertical="center"/>
    </xf>
    <xf numFmtId="0" fontId="6" fillId="5" borderId="1" xfId="0" applyFont="1" applyFill="1" applyBorder="1" applyAlignment="1">
      <alignment horizontal="center" vertical="center" wrapText="1"/>
    </xf>
    <xf numFmtId="0" fontId="6" fillId="5" borderId="2" xfId="0" applyFont="1" applyFill="1" applyBorder="1" applyAlignment="1">
      <alignment horizontal="center" vertical="center" wrapText="1"/>
    </xf>
    <xf numFmtId="0" fontId="6" fillId="5" borderId="3" xfId="0" applyFont="1" applyFill="1" applyBorder="1" applyAlignment="1">
      <alignment horizontal="center" vertical="center" wrapText="1"/>
    </xf>
    <xf numFmtId="0" fontId="6" fillId="5" borderId="4" xfId="0" applyFont="1" applyFill="1" applyBorder="1" applyAlignment="1">
      <alignment horizontal="center" vertical="center" wrapText="1"/>
    </xf>
    <xf numFmtId="164" fontId="2" fillId="2" borderId="1" xfId="1" applyNumberFormat="1" applyFont="1" applyFill="1" applyBorder="1" applyAlignment="1">
      <alignment horizontal="center"/>
    </xf>
    <xf numFmtId="0" fontId="0" fillId="0" borderId="1" xfId="0" applyBorder="1" applyAlignment="1">
      <alignment horizontal="center" wrapText="1"/>
    </xf>
  </cellXfs>
  <cellStyles count="4">
    <cellStyle name="Currency" xfId="2" builtinId="4"/>
    <cellStyle name="Normal" xfId="0" builtinId="0"/>
    <cellStyle name="Normal 2" xfId="3" xr:uid="{81DDCFD6-EA5C-4B1C-8088-833F7817692B}"/>
    <cellStyle name="Percent" xfId="1" builtinId="5"/>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styles" Target="styles.xml"/><Relationship Id="rId18" Type="http://schemas.openxmlformats.org/officeDocument/2006/relationships/customXml" Target="../customXml/item3.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theme" Target="theme/theme1.xml"/><Relationship Id="rId17" Type="http://schemas.openxmlformats.org/officeDocument/2006/relationships/customXml" Target="../customXml/item2.xml"/><Relationship Id="rId2" Type="http://schemas.openxmlformats.org/officeDocument/2006/relationships/worksheet" Target="worksheets/sheet2.xml"/><Relationship Id="rId16" Type="http://schemas.openxmlformats.org/officeDocument/2006/relationships/customXml" Target="../customXml/item1.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externalLink" Target="externalLinks/externalLink2.xml"/><Relationship Id="rId5" Type="http://schemas.openxmlformats.org/officeDocument/2006/relationships/worksheet" Target="worksheets/sheet5.xml"/><Relationship Id="rId15" Type="http://schemas.openxmlformats.org/officeDocument/2006/relationships/calcChain" Target="calcChain.xml"/><Relationship Id="rId10" Type="http://schemas.openxmlformats.org/officeDocument/2006/relationships/externalLink" Target="externalLinks/externalLink1.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sharedStrings" Target="sharedStrings.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barChart>
        <c:barDir val="col"/>
        <c:grouping val="clustered"/>
        <c:varyColors val="0"/>
        <c:ser>
          <c:idx val="3"/>
          <c:order val="3"/>
          <c:tx>
            <c:strRef>
              <c:f>Overages!$M$45</c:f>
              <c:strCache>
                <c:ptCount val="1"/>
                <c:pt idx="0">
                  <c:v>Total</c:v>
                </c:pt>
              </c:strCache>
            </c:strRef>
          </c:tx>
          <c:spPr>
            <a:solidFill>
              <a:schemeClr val="accent5">
                <a:lumMod val="75000"/>
              </a:schemeClr>
            </a:solidFill>
            <a:ln>
              <a:solidFill>
                <a:schemeClr val="accent5">
                  <a:lumMod val="75000"/>
                </a:schemeClr>
              </a:solid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1050" b="1"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multiLvlStrRef>
              <c:extLst>
                <c:ext xmlns:c15="http://schemas.microsoft.com/office/drawing/2012/chart" uri="{02D57815-91ED-43cb-92C2-25804820EDAC}">
                  <c15:fullRef>
                    <c15:sqref>Overages!$I$46:$I$65</c15:sqref>
                  </c15:fullRef>
                </c:ext>
              </c:extLst>
              <c:f>(Overages!$I$46:$I$56,Overages!$I$63:$I$65)</c:f>
            </c:multiLvlStrRef>
          </c:cat>
          <c:val>
            <c:numRef>
              <c:extLst>
                <c:ext xmlns:c15="http://schemas.microsoft.com/office/drawing/2012/chart" uri="{02D57815-91ED-43cb-92C2-25804820EDAC}">
                  <c15:fullRef>
                    <c15:sqref>Overages!$M$69:$M$85</c15:sqref>
                  </c15:fullRef>
                </c:ext>
              </c:extLst>
              <c:f>Overages!$M$69:$M$79</c:f>
              <c:numCache>
                <c:formatCode>"$"#,##0</c:formatCode>
                <c:ptCount val="9"/>
                <c:pt idx="0">
                  <c:v>15842</c:v>
                </c:pt>
                <c:pt idx="1">
                  <c:v>12566</c:v>
                </c:pt>
                <c:pt idx="2">
                  <c:v>6586</c:v>
                </c:pt>
                <c:pt idx="3">
                  <c:v>25389</c:v>
                </c:pt>
                <c:pt idx="4">
                  <c:v>25891</c:v>
                </c:pt>
                <c:pt idx="5">
                  <c:v>29241</c:v>
                </c:pt>
                <c:pt idx="6">
                  <c:v>55996</c:v>
                </c:pt>
                <c:pt idx="7">
                  <c:v>40846</c:v>
                </c:pt>
                <c:pt idx="8">
                  <c:v>39198</c:v>
                </c:pt>
              </c:numCache>
            </c:numRef>
          </c:val>
          <c:extLst>
            <c:ext xmlns:c16="http://schemas.microsoft.com/office/drawing/2014/chart" uri="{C3380CC4-5D6E-409C-BE32-E72D297353CC}">
              <c16:uniqueId val="{00000000-2B3C-46D0-97FE-E6636AAD679D}"/>
            </c:ext>
          </c:extLst>
        </c:ser>
        <c:dLbls>
          <c:showLegendKey val="0"/>
          <c:showVal val="0"/>
          <c:showCatName val="0"/>
          <c:showSerName val="0"/>
          <c:showPercent val="0"/>
          <c:showBubbleSize val="0"/>
        </c:dLbls>
        <c:gapWidth val="150"/>
        <c:axId val="779684767"/>
        <c:axId val="1063139552"/>
      </c:barChart>
      <c:lineChart>
        <c:grouping val="standard"/>
        <c:varyColors val="0"/>
        <c:ser>
          <c:idx val="0"/>
          <c:order val="0"/>
          <c:tx>
            <c:strRef>
              <c:f>Overages!$J$45</c:f>
              <c:strCache>
                <c:ptCount val="1"/>
                <c:pt idx="0">
                  <c:v>MOC Verifone</c:v>
                </c:pt>
              </c:strCache>
            </c:strRef>
          </c:tx>
          <c:spPr>
            <a:ln w="28575" cap="rnd">
              <a:solidFill>
                <a:schemeClr val="accent4"/>
              </a:solidFill>
              <a:round/>
            </a:ln>
            <a:effectLst/>
          </c:spPr>
          <c:marker>
            <c:symbol val="none"/>
          </c:marker>
          <c:cat>
            <c:strRef>
              <c:extLst>
                <c:ext xmlns:c15="http://schemas.microsoft.com/office/drawing/2012/chart" uri="{02D57815-91ED-43cb-92C2-25804820EDAC}">
                  <c15:fullRef>
                    <c15:sqref>Overages!$I$69:$I$85</c15:sqref>
                  </c15:fullRef>
                </c:ext>
              </c:extLst>
              <c:f>Overages!$I$69:$I$79</c:f>
              <c:strCache>
                <c:ptCount val="9"/>
                <c:pt idx="0">
                  <c:v>Jan</c:v>
                </c:pt>
                <c:pt idx="1">
                  <c:v>Feb</c:v>
                </c:pt>
                <c:pt idx="2">
                  <c:v>Mar</c:v>
                </c:pt>
                <c:pt idx="3">
                  <c:v>Apr</c:v>
                </c:pt>
                <c:pt idx="4">
                  <c:v>May</c:v>
                </c:pt>
                <c:pt idx="5">
                  <c:v>Jun</c:v>
                </c:pt>
                <c:pt idx="6">
                  <c:v>Jul</c:v>
                </c:pt>
                <c:pt idx="7">
                  <c:v>Aug</c:v>
                </c:pt>
                <c:pt idx="8">
                  <c:v>Sep</c:v>
                </c:pt>
              </c:strCache>
            </c:strRef>
          </c:cat>
          <c:val>
            <c:numRef>
              <c:extLst>
                <c:ext xmlns:c15="http://schemas.microsoft.com/office/drawing/2012/chart" uri="{02D57815-91ED-43cb-92C2-25804820EDAC}">
                  <c15:fullRef>
                    <c15:sqref>Overages!$J$69:$J$85</c15:sqref>
                  </c15:fullRef>
                </c:ext>
              </c:extLst>
              <c:f>Overages!$J$69:$J$79</c:f>
              <c:numCache>
                <c:formatCode>_("$"* #,##0.00_);_("$"* \(#,##0.00\);_("$"* "-"??_);_(@_)</c:formatCode>
                <c:ptCount val="9"/>
                <c:pt idx="0">
                  <c:v>0</c:v>
                </c:pt>
                <c:pt idx="1">
                  <c:v>3666</c:v>
                </c:pt>
                <c:pt idx="2">
                  <c:v>0</c:v>
                </c:pt>
                <c:pt idx="3">
                  <c:v>4563</c:v>
                </c:pt>
                <c:pt idx="4">
                  <c:v>12363</c:v>
                </c:pt>
                <c:pt idx="5">
                  <c:v>13221</c:v>
                </c:pt>
                <c:pt idx="6">
                  <c:v>23244</c:v>
                </c:pt>
                <c:pt idx="7">
                  <c:v>17706</c:v>
                </c:pt>
                <c:pt idx="8">
                  <c:v>16770</c:v>
                </c:pt>
              </c:numCache>
            </c:numRef>
          </c:val>
          <c:smooth val="0"/>
          <c:extLst>
            <c:ext xmlns:c16="http://schemas.microsoft.com/office/drawing/2014/chart" uri="{C3380CC4-5D6E-409C-BE32-E72D297353CC}">
              <c16:uniqueId val="{00000001-2B3C-46D0-97FE-E6636AAD679D}"/>
            </c:ext>
          </c:extLst>
        </c:ser>
        <c:ser>
          <c:idx val="1"/>
          <c:order val="1"/>
          <c:tx>
            <c:strRef>
              <c:f>Overages!$K$45</c:f>
              <c:strCache>
                <c:ptCount val="1"/>
                <c:pt idx="0">
                  <c:v>MOC Non-Verifone</c:v>
                </c:pt>
              </c:strCache>
            </c:strRef>
          </c:tx>
          <c:spPr>
            <a:ln w="28575" cap="rnd">
              <a:solidFill>
                <a:schemeClr val="accent2"/>
              </a:solidFill>
              <a:round/>
            </a:ln>
            <a:effectLst/>
          </c:spPr>
          <c:marker>
            <c:symbol val="none"/>
          </c:marker>
          <c:cat>
            <c:strRef>
              <c:extLst>
                <c:ext xmlns:c15="http://schemas.microsoft.com/office/drawing/2012/chart" uri="{02D57815-91ED-43cb-92C2-25804820EDAC}">
                  <c15:fullRef>
                    <c15:sqref>Overages!$I$69:$I$85</c15:sqref>
                  </c15:fullRef>
                </c:ext>
              </c:extLst>
              <c:f>Overages!$I$69:$I$79</c:f>
              <c:strCache>
                <c:ptCount val="9"/>
                <c:pt idx="0">
                  <c:v>Jan</c:v>
                </c:pt>
                <c:pt idx="1">
                  <c:v>Feb</c:v>
                </c:pt>
                <c:pt idx="2">
                  <c:v>Mar</c:v>
                </c:pt>
                <c:pt idx="3">
                  <c:v>Apr</c:v>
                </c:pt>
                <c:pt idx="4">
                  <c:v>May</c:v>
                </c:pt>
                <c:pt idx="5">
                  <c:v>Jun</c:v>
                </c:pt>
                <c:pt idx="6">
                  <c:v>Jul</c:v>
                </c:pt>
                <c:pt idx="7">
                  <c:v>Aug</c:v>
                </c:pt>
                <c:pt idx="8">
                  <c:v>Sep</c:v>
                </c:pt>
              </c:strCache>
            </c:strRef>
          </c:cat>
          <c:val>
            <c:numRef>
              <c:extLst>
                <c:ext xmlns:c15="http://schemas.microsoft.com/office/drawing/2012/chart" uri="{02D57815-91ED-43cb-92C2-25804820EDAC}">
                  <c15:fullRef>
                    <c15:sqref>Overages!$K$69:$K$85</c15:sqref>
                  </c15:fullRef>
                </c:ext>
              </c:extLst>
              <c:f>Overages!$K$69:$K$79</c:f>
              <c:numCache>
                <c:formatCode>"$"#,##0</c:formatCode>
                <c:ptCount val="9"/>
                <c:pt idx="0">
                  <c:v>0</c:v>
                </c:pt>
                <c:pt idx="1">
                  <c:v>0</c:v>
                </c:pt>
                <c:pt idx="2">
                  <c:v>0</c:v>
                </c:pt>
                <c:pt idx="3">
                  <c:v>0</c:v>
                </c:pt>
                <c:pt idx="4">
                  <c:v>0</c:v>
                </c:pt>
                <c:pt idx="5">
                  <c:v>0</c:v>
                </c:pt>
                <c:pt idx="6">
                  <c:v>0</c:v>
                </c:pt>
                <c:pt idx="7">
                  <c:v>0</c:v>
                </c:pt>
                <c:pt idx="8">
                  <c:v>0</c:v>
                </c:pt>
              </c:numCache>
            </c:numRef>
          </c:val>
          <c:smooth val="0"/>
          <c:extLst>
            <c:ext xmlns:c16="http://schemas.microsoft.com/office/drawing/2014/chart" uri="{C3380CC4-5D6E-409C-BE32-E72D297353CC}">
              <c16:uniqueId val="{00000002-2B3C-46D0-97FE-E6636AAD679D}"/>
            </c:ext>
          </c:extLst>
        </c:ser>
        <c:ser>
          <c:idx val="2"/>
          <c:order val="2"/>
          <c:tx>
            <c:strRef>
              <c:f>Overages!$L$45</c:f>
              <c:strCache>
                <c:ptCount val="1"/>
                <c:pt idx="0">
                  <c:v>LCM</c:v>
                </c:pt>
              </c:strCache>
            </c:strRef>
          </c:tx>
          <c:spPr>
            <a:ln w="28575" cap="rnd">
              <a:solidFill>
                <a:schemeClr val="accent3"/>
              </a:solidFill>
              <a:round/>
            </a:ln>
            <a:effectLst/>
          </c:spPr>
          <c:marker>
            <c:symbol val="none"/>
          </c:marker>
          <c:cat>
            <c:strRef>
              <c:extLst>
                <c:ext xmlns:c15="http://schemas.microsoft.com/office/drawing/2012/chart" uri="{02D57815-91ED-43cb-92C2-25804820EDAC}">
                  <c15:fullRef>
                    <c15:sqref>Overages!$I$69:$I$85</c15:sqref>
                  </c15:fullRef>
                </c:ext>
              </c:extLst>
              <c:f>Overages!$I$69:$I$79</c:f>
              <c:strCache>
                <c:ptCount val="9"/>
                <c:pt idx="0">
                  <c:v>Jan</c:v>
                </c:pt>
                <c:pt idx="1">
                  <c:v>Feb</c:v>
                </c:pt>
                <c:pt idx="2">
                  <c:v>Mar</c:v>
                </c:pt>
                <c:pt idx="3">
                  <c:v>Apr</c:v>
                </c:pt>
                <c:pt idx="4">
                  <c:v>May</c:v>
                </c:pt>
                <c:pt idx="5">
                  <c:v>Jun</c:v>
                </c:pt>
                <c:pt idx="6">
                  <c:v>Jul</c:v>
                </c:pt>
                <c:pt idx="7">
                  <c:v>Aug</c:v>
                </c:pt>
                <c:pt idx="8">
                  <c:v>Sep</c:v>
                </c:pt>
              </c:strCache>
            </c:strRef>
          </c:cat>
          <c:val>
            <c:numRef>
              <c:extLst>
                <c:ext xmlns:c15="http://schemas.microsoft.com/office/drawing/2012/chart" uri="{02D57815-91ED-43cb-92C2-25804820EDAC}">
                  <c15:fullRef>
                    <c15:sqref>Overages!$L$69:$L$85</c15:sqref>
                  </c15:fullRef>
                </c:ext>
              </c:extLst>
              <c:f>Overages!$L$69:$L$79</c:f>
              <c:numCache>
                <c:formatCode>"$"#,##0</c:formatCode>
                <c:ptCount val="9"/>
                <c:pt idx="0">
                  <c:v>15842</c:v>
                </c:pt>
                <c:pt idx="1">
                  <c:v>8900</c:v>
                </c:pt>
                <c:pt idx="2">
                  <c:v>6586</c:v>
                </c:pt>
                <c:pt idx="3">
                  <c:v>20826</c:v>
                </c:pt>
                <c:pt idx="4">
                  <c:v>13528</c:v>
                </c:pt>
                <c:pt idx="5">
                  <c:v>16020</c:v>
                </c:pt>
                <c:pt idx="6">
                  <c:v>32752</c:v>
                </c:pt>
                <c:pt idx="7">
                  <c:v>23140</c:v>
                </c:pt>
                <c:pt idx="8">
                  <c:v>22428</c:v>
                </c:pt>
              </c:numCache>
            </c:numRef>
          </c:val>
          <c:smooth val="0"/>
          <c:extLst>
            <c:ext xmlns:c16="http://schemas.microsoft.com/office/drawing/2014/chart" uri="{C3380CC4-5D6E-409C-BE32-E72D297353CC}">
              <c16:uniqueId val="{00000003-2B3C-46D0-97FE-E6636AAD679D}"/>
            </c:ext>
          </c:extLst>
        </c:ser>
        <c:dLbls>
          <c:showLegendKey val="0"/>
          <c:showVal val="0"/>
          <c:showCatName val="0"/>
          <c:showSerName val="0"/>
          <c:showPercent val="0"/>
          <c:showBubbleSize val="0"/>
        </c:dLbls>
        <c:marker val="1"/>
        <c:smooth val="0"/>
        <c:axId val="779684767"/>
        <c:axId val="1063139552"/>
      </c:lineChart>
      <c:catAx>
        <c:axId val="779684767"/>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063139552"/>
        <c:crosses val="autoZero"/>
        <c:auto val="1"/>
        <c:lblAlgn val="ctr"/>
        <c:lblOffset val="100"/>
        <c:noMultiLvlLbl val="0"/>
      </c:catAx>
      <c:valAx>
        <c:axId val="1063139552"/>
        <c:scaling>
          <c:orientation val="minMax"/>
        </c:scaling>
        <c:delete val="0"/>
        <c:axPos val="l"/>
        <c:majorGridlines>
          <c:spPr>
            <a:ln w="9525" cap="flat" cmpd="sng" algn="ctr">
              <a:solidFill>
                <a:schemeClr val="tx1">
                  <a:lumMod val="15000"/>
                  <a:lumOff val="85000"/>
                </a:schemeClr>
              </a:solidFill>
              <a:round/>
            </a:ln>
            <a:effectLst/>
          </c:spPr>
        </c:majorGridlines>
        <c:numFmt formatCode="&quot;$&quot;#,##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779684767"/>
        <c:crosses val="autoZero"/>
        <c:crossBetween val="between"/>
      </c:valAx>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span"/>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manualLayout>
          <c:layoutTarget val="inner"/>
          <c:xMode val="edge"/>
          <c:yMode val="edge"/>
          <c:x val="4.8947297780959201E-2"/>
          <c:y val="6.235011990407674E-2"/>
          <c:w val="0.92282329710655553"/>
          <c:h val="0.57061011927964445"/>
        </c:manualLayout>
      </c:layout>
      <c:lineChart>
        <c:grouping val="standard"/>
        <c:varyColors val="0"/>
        <c:ser>
          <c:idx val="0"/>
          <c:order val="0"/>
          <c:tx>
            <c:strRef>
              <c:f>'4. ir_MOC_'!$H$1</c:f>
              <c:strCache>
                <c:ptCount val="1"/>
                <c:pt idx="0">
                  <c:v>Contractual IR 5%</c:v>
                </c:pt>
              </c:strCache>
            </c:strRef>
          </c:tx>
          <c:spPr>
            <a:ln w="28575" cap="rnd">
              <a:solidFill>
                <a:schemeClr val="accent3"/>
              </a:solidFill>
              <a:round/>
            </a:ln>
            <a:effectLst/>
          </c:spPr>
          <c:marker>
            <c:symbol val="none"/>
          </c:marker>
          <c:dLbls>
            <c:delete val="1"/>
          </c:dLbls>
          <c:cat>
            <c:strRef>
              <c:extLst>
                <c:ext xmlns:c15="http://schemas.microsoft.com/office/drawing/2012/chart" uri="{02D57815-91ED-43cb-92C2-25804820EDAC}">
                  <c15:fullRef>
                    <c15:sqref>'4. ir_MOC_'!$A$25:$A$39</c15:sqref>
                  </c15:fullRef>
                </c:ext>
              </c:extLst>
              <c:f>'4. ir_MOC_'!$A$27:$A$36</c:f>
              <c:strCache>
                <c:ptCount val="10"/>
                <c:pt idx="0">
                  <c:v>Jan</c:v>
                </c:pt>
                <c:pt idx="1">
                  <c:v>Feb</c:v>
                </c:pt>
                <c:pt idx="2">
                  <c:v>Mar</c:v>
                </c:pt>
                <c:pt idx="3">
                  <c:v>Apr</c:v>
                </c:pt>
                <c:pt idx="4">
                  <c:v>May</c:v>
                </c:pt>
                <c:pt idx="5">
                  <c:v>Jun</c:v>
                </c:pt>
                <c:pt idx="6">
                  <c:v>Jul</c:v>
                </c:pt>
                <c:pt idx="7">
                  <c:v>Aug</c:v>
                </c:pt>
                <c:pt idx="8">
                  <c:v>Sep</c:v>
                </c:pt>
                <c:pt idx="9">
                  <c:v>Oct</c:v>
                </c:pt>
              </c:strCache>
            </c:strRef>
          </c:cat>
          <c:val>
            <c:numRef>
              <c:extLst>
                <c:ext xmlns:c15="http://schemas.microsoft.com/office/drawing/2012/chart" uri="{02D57815-91ED-43cb-92C2-25804820EDAC}">
                  <c15:fullRef>
                    <c15:sqref>'4. ir_MOC_'!$H$25:$H$39</c15:sqref>
                  </c15:fullRef>
                </c:ext>
              </c:extLst>
              <c:f>'4. ir_MOC_'!$H$27:$H$36</c:f>
              <c:numCache>
                <c:formatCode>0%</c:formatCode>
                <c:ptCount val="10"/>
                <c:pt idx="0">
                  <c:v>0.05</c:v>
                </c:pt>
                <c:pt idx="1">
                  <c:v>0.05</c:v>
                </c:pt>
                <c:pt idx="2">
                  <c:v>0.05</c:v>
                </c:pt>
                <c:pt idx="3">
                  <c:v>0.05</c:v>
                </c:pt>
                <c:pt idx="4">
                  <c:v>0.05</c:v>
                </c:pt>
                <c:pt idx="5">
                  <c:v>0.05</c:v>
                </c:pt>
                <c:pt idx="6">
                  <c:v>0.05</c:v>
                </c:pt>
                <c:pt idx="7">
                  <c:v>0.05</c:v>
                </c:pt>
                <c:pt idx="8">
                  <c:v>0.05</c:v>
                </c:pt>
                <c:pt idx="9">
                  <c:v>0.05</c:v>
                </c:pt>
              </c:numCache>
            </c:numRef>
          </c:val>
          <c:smooth val="0"/>
          <c:extLst>
            <c:ext xmlns:c16="http://schemas.microsoft.com/office/drawing/2014/chart" uri="{C3380CC4-5D6E-409C-BE32-E72D297353CC}">
              <c16:uniqueId val="{00000000-9ADD-4E08-970D-1E9EEE12A638}"/>
            </c:ext>
          </c:extLst>
        </c:ser>
        <c:ser>
          <c:idx val="1"/>
          <c:order val="1"/>
          <c:tx>
            <c:strRef>
              <c:f>'4. ir_MOC_'!$I$1</c:f>
              <c:strCache>
                <c:ptCount val="1"/>
                <c:pt idx="0">
                  <c:v>Non-Verifone</c:v>
                </c:pt>
              </c:strCache>
              <c:extLst xmlns:c15="http://schemas.microsoft.com/office/drawing/2012/chart"/>
            </c:strRef>
          </c:tx>
          <c:spPr>
            <a:ln w="28575" cap="rnd">
              <a:solidFill>
                <a:schemeClr val="accent5">
                  <a:lumMod val="40000"/>
                  <a:lumOff val="60000"/>
                </a:schemeClr>
              </a:solidFill>
              <a:round/>
            </a:ln>
            <a:effectLst/>
          </c:spPr>
          <c:marker>
            <c:symbol val="none"/>
          </c:marker>
          <c:dLbls>
            <c:delete val="1"/>
          </c:dLbls>
          <c:cat>
            <c:strRef>
              <c:extLst>
                <c:ext xmlns:c15="http://schemas.microsoft.com/office/drawing/2012/chart" uri="{02D57815-91ED-43cb-92C2-25804820EDAC}">
                  <c15:fullRef>
                    <c15:sqref>'4. ir_MOC_'!$A$25:$A$39</c15:sqref>
                  </c15:fullRef>
                </c:ext>
              </c:extLst>
              <c:f>'4. ir_MOC_'!$A$27:$A$36</c:f>
              <c:strCache>
                <c:ptCount val="10"/>
                <c:pt idx="0">
                  <c:v>Jan</c:v>
                </c:pt>
                <c:pt idx="1">
                  <c:v>Feb</c:v>
                </c:pt>
                <c:pt idx="2">
                  <c:v>Mar</c:v>
                </c:pt>
                <c:pt idx="3">
                  <c:v>Apr</c:v>
                </c:pt>
                <c:pt idx="4">
                  <c:v>May</c:v>
                </c:pt>
                <c:pt idx="5">
                  <c:v>Jun</c:v>
                </c:pt>
                <c:pt idx="6">
                  <c:v>Jul</c:v>
                </c:pt>
                <c:pt idx="7">
                  <c:v>Aug</c:v>
                </c:pt>
                <c:pt idx="8">
                  <c:v>Sep</c:v>
                </c:pt>
                <c:pt idx="9">
                  <c:v>Oct</c:v>
                </c:pt>
              </c:strCache>
            </c:strRef>
          </c:cat>
          <c:val>
            <c:numRef>
              <c:extLst>
                <c:ext xmlns:c15="http://schemas.microsoft.com/office/drawing/2012/chart" uri="{02D57815-91ED-43cb-92C2-25804820EDAC}">
                  <c15:fullRef>
                    <c15:sqref>'4. ir_MOC_'!$I$25:$I$39</c15:sqref>
                  </c15:fullRef>
                </c:ext>
              </c:extLst>
              <c:f>'4. ir_MOC_'!$I$27:$I$36</c:f>
              <c:numCache>
                <c:formatCode>0.0%</c:formatCode>
                <c:ptCount val="10"/>
                <c:pt idx="0">
                  <c:v>3.9375E-2</c:v>
                </c:pt>
                <c:pt idx="1">
                  <c:v>4.5763888888888889E-2</c:v>
                </c:pt>
                <c:pt idx="2">
                  <c:v>4.0625000000000001E-2</c:v>
                </c:pt>
                <c:pt idx="3">
                  <c:v>4.2638888888888886E-2</c:v>
                </c:pt>
                <c:pt idx="4">
                  <c:v>5.4444444444444441E-2</c:v>
                </c:pt>
                <c:pt idx="5">
                  <c:v>5.7708333333333334E-2</c:v>
                </c:pt>
                <c:pt idx="6">
                  <c:v>5.8958333333333335E-2</c:v>
                </c:pt>
                <c:pt idx="7">
                  <c:v>4.9097222222222223E-2</c:v>
                </c:pt>
                <c:pt idx="8">
                  <c:v>5.7569444444444444E-2</c:v>
                </c:pt>
                <c:pt idx="9">
                  <c:v>1.5694444444444445E-2</c:v>
                </c:pt>
              </c:numCache>
            </c:numRef>
          </c:val>
          <c:smooth val="0"/>
          <c:extLst xmlns:c15="http://schemas.microsoft.com/office/drawing/2012/chart">
            <c:ext xmlns:c16="http://schemas.microsoft.com/office/drawing/2014/chart" uri="{C3380CC4-5D6E-409C-BE32-E72D297353CC}">
              <c16:uniqueId val="{00000001-9ADD-4E08-970D-1E9EEE12A638}"/>
            </c:ext>
          </c:extLst>
        </c:ser>
        <c:ser>
          <c:idx val="2"/>
          <c:order val="2"/>
          <c:tx>
            <c:strRef>
              <c:f>'4. ir_MOC_'!$J$1</c:f>
              <c:strCache>
                <c:ptCount val="1"/>
                <c:pt idx="0">
                  <c:v>Verifone</c:v>
                </c:pt>
              </c:strCache>
              <c:extLst xmlns:c15="http://schemas.microsoft.com/office/drawing/2012/chart"/>
            </c:strRef>
          </c:tx>
          <c:spPr>
            <a:ln w="28575" cap="rnd">
              <a:solidFill>
                <a:schemeClr val="accent3">
                  <a:lumMod val="40000"/>
                  <a:lumOff val="60000"/>
                </a:schemeClr>
              </a:solidFill>
              <a:round/>
            </a:ln>
            <a:effectLst/>
          </c:spPr>
          <c:marker>
            <c:symbol val="none"/>
          </c:marker>
          <c:dLbls>
            <c:delete val="1"/>
          </c:dLbls>
          <c:cat>
            <c:strRef>
              <c:extLst>
                <c:ext xmlns:c15="http://schemas.microsoft.com/office/drawing/2012/chart" uri="{02D57815-91ED-43cb-92C2-25804820EDAC}">
                  <c15:fullRef>
                    <c15:sqref>'4. ir_MOC_'!$A$25:$A$39</c15:sqref>
                  </c15:fullRef>
                </c:ext>
              </c:extLst>
              <c:f>'4. ir_MOC_'!$A$27:$A$36</c:f>
              <c:strCache>
                <c:ptCount val="10"/>
                <c:pt idx="0">
                  <c:v>Jan</c:v>
                </c:pt>
                <c:pt idx="1">
                  <c:v>Feb</c:v>
                </c:pt>
                <c:pt idx="2">
                  <c:v>Mar</c:v>
                </c:pt>
                <c:pt idx="3">
                  <c:v>Apr</c:v>
                </c:pt>
                <c:pt idx="4">
                  <c:v>May</c:v>
                </c:pt>
                <c:pt idx="5">
                  <c:v>Jun</c:v>
                </c:pt>
                <c:pt idx="6">
                  <c:v>Jul</c:v>
                </c:pt>
                <c:pt idx="7">
                  <c:v>Aug</c:v>
                </c:pt>
                <c:pt idx="8">
                  <c:v>Sep</c:v>
                </c:pt>
                <c:pt idx="9">
                  <c:v>Oct</c:v>
                </c:pt>
              </c:strCache>
            </c:strRef>
          </c:cat>
          <c:val>
            <c:numRef>
              <c:extLst>
                <c:ext xmlns:c15="http://schemas.microsoft.com/office/drawing/2012/chart" uri="{02D57815-91ED-43cb-92C2-25804820EDAC}">
                  <c15:fullRef>
                    <c15:sqref>'4. ir_MOC_'!$J$25:$J$39</c15:sqref>
                  </c15:fullRef>
                </c:ext>
              </c:extLst>
              <c:f>'4. ir_MOC_'!$J$27:$J$36</c:f>
              <c:numCache>
                <c:formatCode>0.0%</c:formatCode>
                <c:ptCount val="10"/>
                <c:pt idx="0">
                  <c:v>6.001263423878711E-2</c:v>
                </c:pt>
                <c:pt idx="1">
                  <c:v>6.0566568351738799E-2</c:v>
                </c:pt>
                <c:pt idx="2">
                  <c:v>5.8795765626053535E-2</c:v>
                </c:pt>
                <c:pt idx="3">
                  <c:v>6.4790793587440956E-2</c:v>
                </c:pt>
                <c:pt idx="4">
                  <c:v>6.6671054363564561E-2</c:v>
                </c:pt>
                <c:pt idx="5">
                  <c:v>6.4701699954754055E-2</c:v>
                </c:pt>
                <c:pt idx="6">
                  <c:v>7.9304282305663693E-2</c:v>
                </c:pt>
                <c:pt idx="7">
                  <c:v>7.888056467091821E-2</c:v>
                </c:pt>
                <c:pt idx="8">
                  <c:v>6.964656964656965E-2</c:v>
                </c:pt>
                <c:pt idx="9">
                  <c:v>5.2280787574905223E-2</c:v>
                </c:pt>
              </c:numCache>
            </c:numRef>
          </c:val>
          <c:smooth val="0"/>
          <c:extLst xmlns:c15="http://schemas.microsoft.com/office/drawing/2012/chart">
            <c:ext xmlns:c16="http://schemas.microsoft.com/office/drawing/2014/chart" uri="{C3380CC4-5D6E-409C-BE32-E72D297353CC}">
              <c16:uniqueId val="{00000002-9ADD-4E08-970D-1E9EEE12A638}"/>
            </c:ext>
          </c:extLst>
        </c:ser>
        <c:ser>
          <c:idx val="3"/>
          <c:order val="3"/>
          <c:tx>
            <c:strRef>
              <c:f>'4. ir_MOC_'!$K$1</c:f>
              <c:strCache>
                <c:ptCount val="1"/>
                <c:pt idx="0">
                  <c:v>Overall</c:v>
                </c:pt>
              </c:strCache>
            </c:strRef>
          </c:tx>
          <c:spPr>
            <a:ln w="28575" cap="rnd">
              <a:solidFill>
                <a:schemeClr val="accent1">
                  <a:lumMod val="60000"/>
                </a:schemeClr>
              </a:solidFill>
              <a:round/>
            </a:ln>
            <a:effectLst/>
          </c:spPr>
          <c:marker>
            <c:symbol val="none"/>
          </c:marker>
          <c:dLbls>
            <c:dLbl>
              <c:idx val="0"/>
              <c:layout>
                <c:manualLayout>
                  <c:x val="-3.076349331401073E-2"/>
                  <c:y val="-0.24307198855112766"/>
                </c:manualLayout>
              </c:layout>
              <c:dLblPos val="r"/>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0-25C9-4A38-9C66-8251A2B4DDBC}"/>
                </c:ext>
              </c:extLst>
            </c:dLbl>
            <c:dLbl>
              <c:idx val="1"/>
              <c:layout>
                <c:manualLayout>
                  <c:x val="-1.0936097043395652E-2"/>
                  <c:y val="-0.24307198855112766"/>
                </c:manualLayout>
              </c:layout>
              <c:dLblPos val="r"/>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0-5B17-4DC9-9729-20F4D518F4CF}"/>
                </c:ext>
              </c:extLst>
            </c:dLbl>
            <c:dLbl>
              <c:idx val="2"/>
              <c:layout>
                <c:manualLayout>
                  <c:x val="-2.8285068780183845E-2"/>
                  <c:y val="-0.23510046008900495"/>
                </c:manualLayout>
              </c:layout>
              <c:dLblPos val="r"/>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1-726D-44B7-9076-2F6D3E8A98E8}"/>
                </c:ext>
              </c:extLst>
            </c:dLbl>
            <c:dLbl>
              <c:idx val="3"/>
              <c:layout>
                <c:manualLayout>
                  <c:x val="-3.5720342381664681E-2"/>
                  <c:y val="-0.24307198855112763"/>
                </c:manualLayout>
              </c:layout>
              <c:dLblPos val="r"/>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1-AF73-4205-97E4-7E7C3D165059}"/>
                </c:ext>
              </c:extLst>
            </c:dLbl>
            <c:dLbl>
              <c:idx val="4"/>
              <c:layout>
                <c:manualLayout>
                  <c:x val="-3.4207954626368935E-2"/>
                  <c:y val="-0.17451743097800654"/>
                </c:manualLayout>
              </c:layout>
              <c:dLblPos val="r"/>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1-1F5E-4253-B09E-A6A837E68EB0}"/>
                </c:ext>
              </c:extLst>
            </c:dLbl>
            <c:dLbl>
              <c:idx val="5"/>
              <c:layout>
                <c:manualLayout>
                  <c:x val="-3.1834465786532325E-2"/>
                  <c:y val="-0.24880381375760413"/>
                </c:manualLayout>
              </c:layout>
              <c:dLblPos val="r"/>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1-87B0-409A-BDE9-04056F0C7360}"/>
                </c:ext>
              </c:extLst>
            </c:dLbl>
            <c:dLbl>
              <c:idx val="6"/>
              <c:layout>
                <c:manualLayout>
                  <c:x val="-2.2340510427185007E-2"/>
                  <c:y val="-0.16708879270004678"/>
                </c:manualLayout>
              </c:layout>
              <c:dLblPos val="r"/>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1-6D08-432E-BE61-9B11DF676CD7}"/>
                </c:ext>
              </c:extLst>
            </c:dLbl>
            <c:dLbl>
              <c:idx val="7"/>
              <c:layout>
                <c:manualLayout>
                  <c:x val="-3.1834465786532151E-2"/>
                  <c:y val="-0.20423198408984558"/>
                </c:manualLayout>
              </c:layout>
              <c:dLblPos val="r"/>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1-1264-49C8-BB1E-C2594CCFC502}"/>
                </c:ext>
              </c:extLst>
            </c:dLbl>
            <c:dLbl>
              <c:idx val="8"/>
              <c:layout>
                <c:manualLayout>
                  <c:x val="-4.2247353793554689E-2"/>
                  <c:y val="-0.27108972859148339"/>
                </c:manualLayout>
              </c:layout>
              <c:dLblPos val="r"/>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1-5C7D-49E6-BC09-4BE0E0856CD3}"/>
                </c:ext>
              </c:extLst>
            </c:dLbl>
            <c:dLbl>
              <c:idx val="9"/>
              <c:layout>
                <c:manualLayout>
                  <c:x val="-3.237364021983366E-2"/>
                  <c:y val="-0.22651789892372487"/>
                </c:manualLayout>
              </c:layout>
              <c:dLblPos val="r"/>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1-BF5D-4E8D-B357-23CA744ED8E3}"/>
                </c:ext>
              </c:extLst>
            </c:dLbl>
            <c:numFmt formatCode="0.0%" sourceLinked="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extLst>
                <c:ext xmlns:c15="http://schemas.microsoft.com/office/drawing/2012/chart" uri="{02D57815-91ED-43cb-92C2-25804820EDAC}">
                  <c15:fullRef>
                    <c15:sqref>'4. ir_MOC_'!$A$25:$A$39</c15:sqref>
                  </c15:fullRef>
                </c:ext>
              </c:extLst>
              <c:f>'4. ir_MOC_'!$A$27:$A$36</c:f>
              <c:strCache>
                <c:ptCount val="10"/>
                <c:pt idx="0">
                  <c:v>Jan</c:v>
                </c:pt>
                <c:pt idx="1">
                  <c:v>Feb</c:v>
                </c:pt>
                <c:pt idx="2">
                  <c:v>Mar</c:v>
                </c:pt>
                <c:pt idx="3">
                  <c:v>Apr</c:v>
                </c:pt>
                <c:pt idx="4">
                  <c:v>May</c:v>
                </c:pt>
                <c:pt idx="5">
                  <c:v>Jun</c:v>
                </c:pt>
                <c:pt idx="6">
                  <c:v>Jul</c:v>
                </c:pt>
                <c:pt idx="7">
                  <c:v>Aug</c:v>
                </c:pt>
                <c:pt idx="8">
                  <c:v>Sep</c:v>
                </c:pt>
                <c:pt idx="9">
                  <c:v>Oct</c:v>
                </c:pt>
              </c:strCache>
            </c:strRef>
          </c:cat>
          <c:val>
            <c:numRef>
              <c:extLst>
                <c:ext xmlns:c15="http://schemas.microsoft.com/office/drawing/2012/chart" uri="{02D57815-91ED-43cb-92C2-25804820EDAC}">
                  <c15:fullRef>
                    <c15:sqref>'4. ir_MOC_'!$K$25:$K$39</c15:sqref>
                  </c15:fullRef>
                </c:ext>
              </c:extLst>
              <c:f>'4. ir_MOC_'!$K$27:$K$36</c:f>
              <c:numCache>
                <c:formatCode>0.0%</c:formatCode>
                <c:ptCount val="10"/>
                <c:pt idx="0">
                  <c:v>4.9638705623625511E-2</c:v>
                </c:pt>
                <c:pt idx="1">
                  <c:v>5.3210945857344975E-2</c:v>
                </c:pt>
                <c:pt idx="2" formatCode="0.00%">
                  <c:v>4.9844343334131576E-2</c:v>
                </c:pt>
                <c:pt idx="3">
                  <c:v>5.3953045900859579E-2</c:v>
                </c:pt>
                <c:pt idx="4">
                  <c:v>6.0721767925930932E-2</c:v>
                </c:pt>
                <c:pt idx="5">
                  <c:v>6.1330387332195105E-2</c:v>
                </c:pt>
                <c:pt idx="6" formatCode="0.00%">
                  <c:v>6.9643210446481571E-2</c:v>
                </c:pt>
                <c:pt idx="7">
                  <c:v>6.4842394684298379E-2</c:v>
                </c:pt>
                <c:pt idx="8">
                  <c:v>6.3991675879560381E-2</c:v>
                </c:pt>
                <c:pt idx="9">
                  <c:v>3.514989920010405E-2</c:v>
                </c:pt>
              </c:numCache>
            </c:numRef>
          </c:val>
          <c:smooth val="0"/>
          <c:extLst>
            <c:ext xmlns:c15="http://schemas.microsoft.com/office/drawing/2012/chart" uri="{02D57815-91ED-43cb-92C2-25804820EDAC}">
              <c15:categoryFilterExceptions>
                <c15:categoryFilterException>
                  <c15:sqref>'4. ir_MOC_'!$K$26</c15:sqref>
                  <c15:dLbl>
                    <c:idx val="-1"/>
                    <c:layout>
                      <c:manualLayout>
                        <c:x val="-2.9486031345630534E-2"/>
                        <c:y val="-0.15538517546777808"/>
                      </c:manualLayout>
                    </c:layout>
                    <c:dLblPos val="r"/>
                    <c:showLegendKey val="0"/>
                    <c:showVal val="1"/>
                    <c:showCatName val="0"/>
                    <c:showSerName val="0"/>
                    <c:showPercent val="0"/>
                    <c:showBubbleSize val="0"/>
                    <c:extLst>
                      <c:ext uri="{CE6537A1-D6FC-4f65-9D91-7224C49458BB}"/>
                      <c:ext xmlns:c16="http://schemas.microsoft.com/office/drawing/2014/chart" uri="{C3380CC4-5D6E-409C-BE32-E72D297353CC}">
                        <c16:uniqueId val="{00000000-93C2-4730-81E6-042D9B973A67}"/>
                      </c:ext>
                    </c:extLst>
                  </c15:dLbl>
                </c15:categoryFilterException>
              </c15:categoryFilterExceptions>
            </c:ext>
            <c:ext xmlns:c16="http://schemas.microsoft.com/office/drawing/2014/chart" uri="{C3380CC4-5D6E-409C-BE32-E72D297353CC}">
              <c16:uniqueId val="{00000003-9ADD-4E08-970D-1E9EEE12A638}"/>
            </c:ext>
          </c:extLst>
        </c:ser>
        <c:dLbls>
          <c:dLblPos val="t"/>
          <c:showLegendKey val="0"/>
          <c:showVal val="1"/>
          <c:showCatName val="0"/>
          <c:showSerName val="0"/>
          <c:showPercent val="0"/>
          <c:showBubbleSize val="0"/>
        </c:dLbls>
        <c:smooth val="0"/>
        <c:axId val="330299424"/>
        <c:axId val="1369376224"/>
        <c:extLst/>
      </c:lineChart>
      <c:catAx>
        <c:axId val="330299424"/>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369376224"/>
        <c:crosses val="autoZero"/>
        <c:auto val="1"/>
        <c:lblAlgn val="ctr"/>
        <c:lblOffset val="100"/>
        <c:noMultiLvlLbl val="0"/>
      </c:catAx>
      <c:valAx>
        <c:axId val="1369376224"/>
        <c:scaling>
          <c:orientation val="minMax"/>
        </c:scaling>
        <c:delete val="0"/>
        <c:axPos val="l"/>
        <c:majorGridlines>
          <c:spPr>
            <a:ln w="9525" cap="flat" cmpd="sng" algn="ctr">
              <a:solidFill>
                <a:schemeClr val="tx1">
                  <a:lumMod val="15000"/>
                  <a:lumOff val="85000"/>
                </a:schemeClr>
              </a:solidFill>
              <a:round/>
            </a:ln>
            <a:effectLst/>
          </c:spPr>
        </c:majorGridlines>
        <c:numFmt formatCode="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330299424"/>
        <c:crosses val="autoZero"/>
        <c:crossBetween val="between"/>
      </c:valAx>
      <c:spPr>
        <a:noFill/>
        <a:ln>
          <a:noFill/>
        </a:ln>
        <a:effectLst/>
      </c:spPr>
    </c:plotArea>
    <c:legend>
      <c:legendPos val="b"/>
      <c:layout>
        <c:manualLayout>
          <c:xMode val="edge"/>
          <c:yMode val="edge"/>
          <c:x val="0.10358835727033888"/>
          <c:y val="0.84257332189911904"/>
          <c:w val="0.79282328545932224"/>
          <c:h val="0.1336643018632572"/>
        </c:manualLayout>
      </c:layou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lineChart>
        <c:grouping val="standard"/>
        <c:varyColors val="0"/>
        <c:ser>
          <c:idx val="0"/>
          <c:order val="0"/>
          <c:tx>
            <c:strRef>
              <c:f>'4. ir_LCM'!$D$1</c:f>
              <c:strCache>
                <c:ptCount val="1"/>
                <c:pt idx="0">
                  <c:v>Contractual IR 5%</c:v>
                </c:pt>
              </c:strCache>
            </c:strRef>
          </c:tx>
          <c:spPr>
            <a:ln w="28575" cap="rnd">
              <a:solidFill>
                <a:schemeClr val="accent3"/>
              </a:solidFill>
              <a:round/>
            </a:ln>
            <a:effectLst/>
          </c:spPr>
          <c:marker>
            <c:symbol val="none"/>
          </c:marker>
          <c:cat>
            <c:strRef>
              <c:f>('4. ir_LCM'!$A$27:$A$36,'4. ir_LCM'!$A$37)</c:f>
              <c:strCache>
                <c:ptCount val="11"/>
                <c:pt idx="0">
                  <c:v>Jan</c:v>
                </c:pt>
                <c:pt idx="1">
                  <c:v>Feb</c:v>
                </c:pt>
                <c:pt idx="2">
                  <c:v>Mar</c:v>
                </c:pt>
                <c:pt idx="3">
                  <c:v>Apr</c:v>
                </c:pt>
                <c:pt idx="4">
                  <c:v>May</c:v>
                </c:pt>
                <c:pt idx="5">
                  <c:v>Jun</c:v>
                </c:pt>
                <c:pt idx="6">
                  <c:v>Jul</c:v>
                </c:pt>
                <c:pt idx="7">
                  <c:v>Aug</c:v>
                </c:pt>
                <c:pt idx="8">
                  <c:v>Sep</c:v>
                </c:pt>
                <c:pt idx="9">
                  <c:v>Oct</c:v>
                </c:pt>
                <c:pt idx="10">
                  <c:v>Nov</c:v>
                </c:pt>
              </c:strCache>
            </c:strRef>
          </c:cat>
          <c:val>
            <c:numRef>
              <c:f>'4. ir_LCM'!$D$27:$D$36</c:f>
              <c:numCache>
                <c:formatCode>0%</c:formatCode>
                <c:ptCount val="10"/>
                <c:pt idx="0">
                  <c:v>0.05</c:v>
                </c:pt>
                <c:pt idx="1">
                  <c:v>0.05</c:v>
                </c:pt>
                <c:pt idx="2">
                  <c:v>0.05</c:v>
                </c:pt>
                <c:pt idx="3">
                  <c:v>0.05</c:v>
                </c:pt>
                <c:pt idx="4">
                  <c:v>0.05</c:v>
                </c:pt>
                <c:pt idx="5">
                  <c:v>0.05</c:v>
                </c:pt>
                <c:pt idx="6">
                  <c:v>0.05</c:v>
                </c:pt>
                <c:pt idx="7">
                  <c:v>0.05</c:v>
                </c:pt>
                <c:pt idx="8">
                  <c:v>0.05</c:v>
                </c:pt>
                <c:pt idx="9">
                  <c:v>0.05</c:v>
                </c:pt>
              </c:numCache>
            </c:numRef>
          </c:val>
          <c:smooth val="0"/>
          <c:extLst>
            <c:ext xmlns:c16="http://schemas.microsoft.com/office/drawing/2014/chart" uri="{C3380CC4-5D6E-409C-BE32-E72D297353CC}">
              <c16:uniqueId val="{00000000-0A1C-4B1C-8299-7B1D19086CF6}"/>
            </c:ext>
          </c:extLst>
        </c:ser>
        <c:ser>
          <c:idx val="1"/>
          <c:order val="1"/>
          <c:tx>
            <c:strRef>
              <c:f>'4. ir_LCM_2024'!#REF!</c:f>
              <c:strCache>
                <c:ptCount val="1"/>
                <c:pt idx="0">
                  <c:v>#REF!</c:v>
                </c:pt>
              </c:strCache>
              <c:extLst xmlns:c15="http://schemas.microsoft.com/office/drawing/2012/chart"/>
            </c:strRef>
          </c:tx>
          <c:spPr>
            <a:ln w="28575" cap="rnd">
              <a:solidFill>
                <a:schemeClr val="accent3"/>
              </a:solidFill>
              <a:round/>
            </a:ln>
            <a:effectLst/>
          </c:spPr>
          <c:marker>
            <c:symbol val="none"/>
          </c:marker>
          <c:cat>
            <c:strRef>
              <c:f>('4. ir_LCM'!$A$27:$A$36,'4. ir_LCM'!$A$37)</c:f>
              <c:strCache>
                <c:ptCount val="11"/>
                <c:pt idx="0">
                  <c:v>Jan</c:v>
                </c:pt>
                <c:pt idx="1">
                  <c:v>Feb</c:v>
                </c:pt>
                <c:pt idx="2">
                  <c:v>Mar</c:v>
                </c:pt>
                <c:pt idx="3">
                  <c:v>Apr</c:v>
                </c:pt>
                <c:pt idx="4">
                  <c:v>May</c:v>
                </c:pt>
                <c:pt idx="5">
                  <c:v>Jun</c:v>
                </c:pt>
                <c:pt idx="6">
                  <c:v>Jul</c:v>
                </c:pt>
                <c:pt idx="7">
                  <c:v>Aug</c:v>
                </c:pt>
                <c:pt idx="8">
                  <c:v>Sep</c:v>
                </c:pt>
                <c:pt idx="9">
                  <c:v>Oct</c:v>
                </c:pt>
                <c:pt idx="10">
                  <c:v>Nov</c:v>
                </c:pt>
              </c:strCache>
            </c:strRef>
          </c:cat>
          <c:val>
            <c:numRef>
              <c:f>'4. ir_LCM_2024'!#REF!</c:f>
              <c:extLst xmlns:c15="http://schemas.microsoft.com/office/drawing/2012/chart"/>
            </c:numRef>
          </c:val>
          <c:smooth val="0"/>
          <c:extLst xmlns:c15="http://schemas.microsoft.com/office/drawing/2012/chart">
            <c:ext xmlns:c16="http://schemas.microsoft.com/office/drawing/2014/chart" uri="{C3380CC4-5D6E-409C-BE32-E72D297353CC}">
              <c16:uniqueId val="{00000001-0A1C-4B1C-8299-7B1D19086CF6}"/>
            </c:ext>
          </c:extLst>
        </c:ser>
        <c:ser>
          <c:idx val="2"/>
          <c:order val="2"/>
          <c:tx>
            <c:strRef>
              <c:f>'4. ir_LCM'!$E$1</c:f>
              <c:strCache>
                <c:ptCount val="1"/>
                <c:pt idx="0">
                  <c:v>Verifone</c:v>
                </c:pt>
              </c:strCache>
            </c:strRef>
          </c:tx>
          <c:spPr>
            <a:ln w="28575" cap="rnd">
              <a:solidFill>
                <a:schemeClr val="accent5"/>
              </a:solidFill>
              <a:round/>
            </a:ln>
            <a:effectLst/>
          </c:spPr>
          <c:marker>
            <c:symbol val="none"/>
          </c:marker>
          <c:dLbls>
            <c:dLbl>
              <c:idx val="0"/>
              <c:layout>
                <c:manualLayout>
                  <c:x val="-3.4803840384426341E-2"/>
                  <c:y val="-0.17929976085414615"/>
                </c:manualLayout>
              </c:layout>
              <c:dLblPos val="r"/>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0-E251-45B3-9D59-0F6CA7C4B8DC}"/>
                </c:ext>
              </c:extLst>
            </c:dLbl>
            <c:dLbl>
              <c:idx val="1"/>
              <c:layout>
                <c:manualLayout>
                  <c:x val="-2.2729671139560093E-2"/>
                  <c:y val="-0.20321434624051424"/>
                </c:manualLayout>
              </c:layout>
              <c:dLblPos val="r"/>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0-4EBE-4A17-8C93-89A2588892F9}"/>
                </c:ext>
              </c:extLst>
            </c:dLbl>
            <c:dLbl>
              <c:idx val="2"/>
              <c:layout>
                <c:manualLayout>
                  <c:x val="-3.7218674233399765E-2"/>
                  <c:y val="-0.23510046008900498"/>
                </c:manualLayout>
              </c:layout>
              <c:dLblPos val="r"/>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0-6B2B-43F7-8C8F-5BA1704E0931}"/>
                </c:ext>
              </c:extLst>
            </c:dLbl>
            <c:dLbl>
              <c:idx val="3"/>
              <c:layout>
                <c:manualLayout>
                  <c:x val="-3.7218674233399765E-2"/>
                  <c:y val="-0.1952428177783915"/>
                </c:manualLayout>
              </c:layout>
              <c:dLblPos val="r"/>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0-4E6F-4099-9DB5-082B9DF77661}"/>
                </c:ext>
              </c:extLst>
            </c:dLbl>
            <c:dLbl>
              <c:idx val="4"/>
              <c:layout>
                <c:manualLayout>
                  <c:x val="-3.3366510442586282E-2"/>
                  <c:y val="-0.16708879270004678"/>
                </c:manualLayout>
              </c:layout>
              <c:dLblPos val="r"/>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0-11E6-454C-B684-74384E95B066}"/>
                </c:ext>
              </c:extLst>
            </c:dLbl>
            <c:dLbl>
              <c:idx val="5"/>
              <c:layout>
                <c:manualLayout>
                  <c:x val="-3.1051404467242905E-2"/>
                  <c:y val="-0.21166062236780536"/>
                </c:manualLayout>
              </c:layout>
              <c:dLblPos val="r"/>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0-37FE-4CC1-BB42-AF1BEF0492DD}"/>
                </c:ext>
              </c:extLst>
            </c:dLbl>
            <c:dLbl>
              <c:idx val="6"/>
              <c:layout>
                <c:manualLayout>
                  <c:x val="-3.5681616417929496E-2"/>
                  <c:y val="-0.1373742395882078"/>
                </c:manualLayout>
              </c:layout>
              <c:dLblPos val="r"/>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0-C800-4F8B-A1F4-59609EEB122F}"/>
                </c:ext>
              </c:extLst>
            </c:dLbl>
            <c:dLbl>
              <c:idx val="7"/>
              <c:layout>
                <c:manualLayout>
                  <c:x val="-4.494204031930233E-2"/>
                  <c:y val="-0.18194606925596632"/>
                </c:manualLayout>
              </c:layout>
              <c:dLblPos val="r"/>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0-A686-4263-A0E1-6BF6855ADF8A}"/>
                </c:ext>
              </c:extLst>
            </c:dLbl>
            <c:dLbl>
              <c:idx val="8"/>
              <c:layout>
                <c:manualLayout>
                  <c:x val="-4.2626934343959123E-2"/>
                  <c:y val="-0.25623245203556388"/>
                </c:manualLayout>
              </c:layout>
              <c:dLblPos val="r"/>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0-283E-4F6D-A5F6-86CBB93E3D4E}"/>
                </c:ext>
              </c:extLst>
            </c:dLbl>
            <c:dLbl>
              <c:idx val="9"/>
              <c:layout>
                <c:manualLayout>
                  <c:x val="-3.7996722393272703E-2"/>
                  <c:y val="-0.18194606925596635"/>
                </c:manualLayout>
              </c:layout>
              <c:dLblPos val="r"/>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0-7270-4EEA-9CB3-726AA84A6C94}"/>
                </c:ext>
              </c:extLst>
            </c:dLbl>
            <c:numFmt formatCode="0.0%" sourceLinked="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('4. ir_LCM'!$A$27:$A$36,'4. ir_LCM'!$A$37)</c:f>
              <c:strCache>
                <c:ptCount val="11"/>
                <c:pt idx="0">
                  <c:v>Jan</c:v>
                </c:pt>
                <c:pt idx="1">
                  <c:v>Feb</c:v>
                </c:pt>
                <c:pt idx="2">
                  <c:v>Mar</c:v>
                </c:pt>
                <c:pt idx="3">
                  <c:v>Apr</c:v>
                </c:pt>
                <c:pt idx="4">
                  <c:v>May</c:v>
                </c:pt>
                <c:pt idx="5">
                  <c:v>Jun</c:v>
                </c:pt>
                <c:pt idx="6">
                  <c:v>Jul</c:v>
                </c:pt>
                <c:pt idx="7">
                  <c:v>Aug</c:v>
                </c:pt>
                <c:pt idx="8">
                  <c:v>Sep</c:v>
                </c:pt>
                <c:pt idx="9">
                  <c:v>Oct</c:v>
                </c:pt>
                <c:pt idx="10">
                  <c:v>Nov</c:v>
                </c:pt>
              </c:strCache>
            </c:strRef>
          </c:cat>
          <c:val>
            <c:numRef>
              <c:f>'4. ir_LCM'!$E$27:$E$36</c:f>
              <c:numCache>
                <c:formatCode>0.0%</c:formatCode>
                <c:ptCount val="10"/>
                <c:pt idx="0">
                  <c:v>6.2469291780725765E-2</c:v>
                </c:pt>
                <c:pt idx="1">
                  <c:v>5.6794018794155979E-2</c:v>
                </c:pt>
                <c:pt idx="2">
                  <c:v>5.4952464432607373E-2</c:v>
                </c:pt>
                <c:pt idx="3">
                  <c:v>6.552251712898291E-2</c:v>
                </c:pt>
                <c:pt idx="4">
                  <c:v>5.9957878109780177E-2</c:v>
                </c:pt>
                <c:pt idx="5">
                  <c:v>6.1599120935944669E-2</c:v>
                </c:pt>
                <c:pt idx="6">
                  <c:v>7.3088032148687684E-2</c:v>
                </c:pt>
                <c:pt idx="7">
                  <c:v>6.6125936474521696E-2</c:v>
                </c:pt>
                <c:pt idx="8">
                  <c:v>6.5427418368594836E-2</c:v>
                </c:pt>
                <c:pt idx="9">
                  <c:v>4.3591609069964836E-2</c:v>
                </c:pt>
              </c:numCache>
            </c:numRef>
          </c:val>
          <c:smooth val="0"/>
          <c:extLst>
            <c:ext xmlns:c16="http://schemas.microsoft.com/office/drawing/2014/chart" uri="{C3380CC4-5D6E-409C-BE32-E72D297353CC}">
              <c16:uniqueId val="{00000002-0A1C-4B1C-8299-7B1D19086CF6}"/>
            </c:ext>
          </c:extLst>
        </c:ser>
        <c:dLbls>
          <c:showLegendKey val="0"/>
          <c:showVal val="0"/>
          <c:showCatName val="0"/>
          <c:showSerName val="0"/>
          <c:showPercent val="0"/>
          <c:showBubbleSize val="0"/>
        </c:dLbls>
        <c:smooth val="0"/>
        <c:axId val="330299424"/>
        <c:axId val="1369376224"/>
        <c:extLst/>
      </c:lineChart>
      <c:catAx>
        <c:axId val="330299424"/>
        <c:scaling>
          <c:orientation val="minMax"/>
        </c:scaling>
        <c:delete val="0"/>
        <c:axPos val="b"/>
        <c:numFmt formatCode="General" sourceLinked="1"/>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369376224"/>
        <c:crosses val="autoZero"/>
        <c:auto val="1"/>
        <c:lblAlgn val="ctr"/>
        <c:lblOffset val="100"/>
        <c:noMultiLvlLbl val="0"/>
      </c:catAx>
      <c:valAx>
        <c:axId val="1369376224"/>
        <c:scaling>
          <c:orientation val="minMax"/>
          <c:max val="0.1"/>
        </c:scaling>
        <c:delete val="0"/>
        <c:axPos val="l"/>
        <c:majorGridlines>
          <c:spPr>
            <a:ln w="9525" cap="flat" cmpd="sng" algn="ctr">
              <a:solidFill>
                <a:schemeClr val="tx1">
                  <a:lumMod val="15000"/>
                  <a:lumOff val="85000"/>
                </a:schemeClr>
              </a:solidFill>
              <a:round/>
            </a:ln>
            <a:effectLst/>
          </c:spPr>
        </c:majorGridlines>
        <c:numFmt formatCode="0%" sourceLinked="1"/>
        <c:majorTickMark val="out"/>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330299424"/>
        <c:crosses val="autoZero"/>
        <c:crossBetween val="between"/>
      </c:valAx>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manualLayout>
          <c:layoutTarget val="inner"/>
          <c:xMode val="edge"/>
          <c:yMode val="edge"/>
          <c:x val="4.8947297780959201E-2"/>
          <c:y val="6.235011990407674E-2"/>
          <c:w val="0.93021936888570744"/>
          <c:h val="0.67358069449951852"/>
        </c:manualLayout>
      </c:layout>
      <c:lineChart>
        <c:grouping val="standard"/>
        <c:varyColors val="0"/>
        <c:ser>
          <c:idx val="0"/>
          <c:order val="0"/>
          <c:tx>
            <c:strRef>
              <c:f>'4. ir_MOC_'!$H$1</c:f>
              <c:strCache>
                <c:ptCount val="1"/>
                <c:pt idx="0">
                  <c:v>Contractual IR 5%</c:v>
                </c:pt>
              </c:strCache>
            </c:strRef>
          </c:tx>
          <c:spPr>
            <a:ln w="28575" cap="rnd">
              <a:solidFill>
                <a:schemeClr val="accent3"/>
              </a:solidFill>
              <a:round/>
            </a:ln>
            <a:effectLst/>
          </c:spPr>
          <c:marker>
            <c:symbol val="none"/>
          </c:marker>
          <c:dLbls>
            <c:delete val="1"/>
          </c:dLbls>
          <c:cat>
            <c:strRef>
              <c:f>'4. ir_MOC_'!$A$15:$A$19</c:f>
              <c:strCache>
                <c:ptCount val="5"/>
                <c:pt idx="0">
                  <c:v>Jan</c:v>
                </c:pt>
                <c:pt idx="1">
                  <c:v>Feb</c:v>
                </c:pt>
                <c:pt idx="2">
                  <c:v>Mar</c:v>
                </c:pt>
                <c:pt idx="3">
                  <c:v>Apr</c:v>
                </c:pt>
                <c:pt idx="4">
                  <c:v>May</c:v>
                </c:pt>
              </c:strCache>
            </c:strRef>
          </c:cat>
          <c:val>
            <c:numRef>
              <c:f>'4. ir_MOC_'!$H$15:$H$19</c:f>
              <c:numCache>
                <c:formatCode>0%</c:formatCode>
                <c:ptCount val="5"/>
                <c:pt idx="0">
                  <c:v>0.05</c:v>
                </c:pt>
                <c:pt idx="1">
                  <c:v>0.05</c:v>
                </c:pt>
                <c:pt idx="2">
                  <c:v>0.05</c:v>
                </c:pt>
                <c:pt idx="3">
                  <c:v>0.05</c:v>
                </c:pt>
                <c:pt idx="4">
                  <c:v>0.05</c:v>
                </c:pt>
              </c:numCache>
            </c:numRef>
          </c:val>
          <c:smooth val="0"/>
          <c:extLst>
            <c:ext xmlns:c16="http://schemas.microsoft.com/office/drawing/2014/chart" uri="{C3380CC4-5D6E-409C-BE32-E72D297353CC}">
              <c16:uniqueId val="{00000000-FA81-4FC3-8C5E-87260A048C60}"/>
            </c:ext>
          </c:extLst>
        </c:ser>
        <c:ser>
          <c:idx val="1"/>
          <c:order val="1"/>
          <c:tx>
            <c:strRef>
              <c:f>'4. ir_MOC_'!$I$1</c:f>
              <c:strCache>
                <c:ptCount val="1"/>
                <c:pt idx="0">
                  <c:v>Non-Verifone</c:v>
                </c:pt>
              </c:strCache>
            </c:strRef>
          </c:tx>
          <c:spPr>
            <a:ln w="28575" cap="rnd">
              <a:solidFill>
                <a:schemeClr val="accent5">
                  <a:lumMod val="40000"/>
                  <a:lumOff val="60000"/>
                </a:schemeClr>
              </a:solidFill>
              <a:round/>
            </a:ln>
            <a:effectLst/>
          </c:spPr>
          <c:marker>
            <c:symbol val="none"/>
          </c:marker>
          <c:dLbls>
            <c:delete val="1"/>
          </c:dLbls>
          <c:cat>
            <c:strRef>
              <c:f>'4. ir_MOC_'!$A$15:$A$19</c:f>
              <c:strCache>
                <c:ptCount val="5"/>
                <c:pt idx="0">
                  <c:v>Jan</c:v>
                </c:pt>
                <c:pt idx="1">
                  <c:v>Feb</c:v>
                </c:pt>
                <c:pt idx="2">
                  <c:v>Mar</c:v>
                </c:pt>
                <c:pt idx="3">
                  <c:v>Apr</c:v>
                </c:pt>
                <c:pt idx="4">
                  <c:v>May</c:v>
                </c:pt>
              </c:strCache>
            </c:strRef>
          </c:cat>
          <c:val>
            <c:numRef>
              <c:f>'4. ir_MOC_'!$I$15:$I$19</c:f>
              <c:numCache>
                <c:formatCode>0.0%</c:formatCode>
                <c:ptCount val="5"/>
                <c:pt idx="0">
                  <c:v>2.2619242747090641E-2</c:v>
                </c:pt>
                <c:pt idx="1">
                  <c:v>1.8521553843632192E-2</c:v>
                </c:pt>
                <c:pt idx="2">
                  <c:v>1.2784789378790361E-2</c:v>
                </c:pt>
                <c:pt idx="3">
                  <c:v>1.1063760039337813E-2</c:v>
                </c:pt>
                <c:pt idx="4">
                  <c:v>1.466972627438125E-2</c:v>
                </c:pt>
              </c:numCache>
            </c:numRef>
          </c:val>
          <c:smooth val="0"/>
          <c:extLst xmlns:c15="http://schemas.microsoft.com/office/drawing/2012/chart">
            <c:ext xmlns:c16="http://schemas.microsoft.com/office/drawing/2014/chart" uri="{C3380CC4-5D6E-409C-BE32-E72D297353CC}">
              <c16:uniqueId val="{00000005-2F97-4E4D-A54F-F17F4DA696DA}"/>
            </c:ext>
          </c:extLst>
        </c:ser>
        <c:ser>
          <c:idx val="2"/>
          <c:order val="2"/>
          <c:tx>
            <c:strRef>
              <c:f>'4. ir_MOC_'!$J$1</c:f>
              <c:strCache>
                <c:ptCount val="1"/>
                <c:pt idx="0">
                  <c:v>Verifone</c:v>
                </c:pt>
              </c:strCache>
            </c:strRef>
          </c:tx>
          <c:spPr>
            <a:ln w="28575" cap="rnd">
              <a:solidFill>
                <a:schemeClr val="accent3">
                  <a:lumMod val="40000"/>
                  <a:lumOff val="60000"/>
                </a:schemeClr>
              </a:solidFill>
              <a:round/>
            </a:ln>
            <a:effectLst/>
          </c:spPr>
          <c:marker>
            <c:symbol val="none"/>
          </c:marker>
          <c:dLbls>
            <c:delete val="1"/>
          </c:dLbls>
          <c:cat>
            <c:strRef>
              <c:f>'4. ir_MOC_'!$A$15:$A$19</c:f>
              <c:strCache>
                <c:ptCount val="5"/>
                <c:pt idx="0">
                  <c:v>Jan</c:v>
                </c:pt>
                <c:pt idx="1">
                  <c:v>Feb</c:v>
                </c:pt>
                <c:pt idx="2">
                  <c:v>Mar</c:v>
                </c:pt>
                <c:pt idx="3">
                  <c:v>Apr</c:v>
                </c:pt>
                <c:pt idx="4">
                  <c:v>May</c:v>
                </c:pt>
              </c:strCache>
            </c:strRef>
          </c:cat>
          <c:val>
            <c:numRef>
              <c:f>'4. ir_MOC_'!$J$15:$J$19</c:f>
              <c:numCache>
                <c:formatCode>0.0%</c:formatCode>
                <c:ptCount val="5"/>
                <c:pt idx="0">
                  <c:v>6.0283083219645296E-2</c:v>
                </c:pt>
                <c:pt idx="1">
                  <c:v>6.0209424083769635E-2</c:v>
                </c:pt>
                <c:pt idx="2">
                  <c:v>6.9545154911008572E-2</c:v>
                </c:pt>
                <c:pt idx="3">
                  <c:v>6.6959206890947504E-2</c:v>
                </c:pt>
                <c:pt idx="4">
                  <c:v>5.8408062852154594E-2</c:v>
                </c:pt>
              </c:numCache>
            </c:numRef>
          </c:val>
          <c:smooth val="0"/>
          <c:extLst xmlns:c15="http://schemas.microsoft.com/office/drawing/2012/chart">
            <c:ext xmlns:c16="http://schemas.microsoft.com/office/drawing/2014/chart" uri="{C3380CC4-5D6E-409C-BE32-E72D297353CC}">
              <c16:uniqueId val="{00000006-2F97-4E4D-A54F-F17F4DA696DA}"/>
            </c:ext>
          </c:extLst>
        </c:ser>
        <c:ser>
          <c:idx val="3"/>
          <c:order val="3"/>
          <c:tx>
            <c:strRef>
              <c:f>'4. ir_MOC_'!$K$1</c:f>
              <c:strCache>
                <c:ptCount val="1"/>
                <c:pt idx="0">
                  <c:v>Overall</c:v>
                </c:pt>
              </c:strCache>
            </c:strRef>
          </c:tx>
          <c:spPr>
            <a:ln w="28575" cap="rnd">
              <a:solidFill>
                <a:schemeClr val="accent1">
                  <a:lumMod val="60000"/>
                </a:schemeClr>
              </a:solidFill>
              <a:round/>
            </a:ln>
            <a:effectLst/>
          </c:spPr>
          <c:marker>
            <c:symbol val="none"/>
          </c:marker>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'4. ir_MOC_'!$A$15:$A$19</c:f>
              <c:strCache>
                <c:ptCount val="5"/>
                <c:pt idx="0">
                  <c:v>Jan</c:v>
                </c:pt>
                <c:pt idx="1">
                  <c:v>Feb</c:v>
                </c:pt>
                <c:pt idx="2">
                  <c:v>Mar</c:v>
                </c:pt>
                <c:pt idx="3">
                  <c:v>Apr</c:v>
                </c:pt>
                <c:pt idx="4">
                  <c:v>May</c:v>
                </c:pt>
              </c:strCache>
            </c:strRef>
          </c:cat>
          <c:val>
            <c:numRef>
              <c:f>'4. ir_MOC_'!$K$15:$K$19</c:f>
              <c:numCache>
                <c:formatCode>0.0%</c:formatCode>
                <c:ptCount val="5"/>
                <c:pt idx="0">
                  <c:v>4.1078144588382784E-2</c:v>
                </c:pt>
                <c:pt idx="1">
                  <c:v>3.9053402096157049E-2</c:v>
                </c:pt>
                <c:pt idx="2">
                  <c:v>4.1088010518530692E-2</c:v>
                </c:pt>
                <c:pt idx="3">
                  <c:v>3.9130079973886081E-2</c:v>
                </c:pt>
                <c:pt idx="4">
                  <c:v>3.6890698705801715E-2</c:v>
                </c:pt>
              </c:numCache>
            </c:numRef>
          </c:val>
          <c:smooth val="0"/>
          <c:extLst>
            <c:ext xmlns:c16="http://schemas.microsoft.com/office/drawing/2014/chart" uri="{C3380CC4-5D6E-409C-BE32-E72D297353CC}">
              <c16:uniqueId val="{00000001-52D0-4D47-BF38-C814E82FC1E4}"/>
            </c:ext>
          </c:extLst>
        </c:ser>
        <c:dLbls>
          <c:dLblPos val="t"/>
          <c:showLegendKey val="0"/>
          <c:showVal val="1"/>
          <c:showCatName val="0"/>
          <c:showSerName val="0"/>
          <c:showPercent val="0"/>
          <c:showBubbleSize val="0"/>
        </c:dLbls>
        <c:smooth val="0"/>
        <c:axId val="330299424"/>
        <c:axId val="1369376224"/>
        <c:extLst/>
      </c:lineChart>
      <c:catAx>
        <c:axId val="330299424"/>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369376224"/>
        <c:crosses val="autoZero"/>
        <c:auto val="1"/>
        <c:lblAlgn val="ctr"/>
        <c:lblOffset val="100"/>
        <c:noMultiLvlLbl val="0"/>
      </c:catAx>
      <c:valAx>
        <c:axId val="1369376224"/>
        <c:scaling>
          <c:orientation val="minMax"/>
        </c:scaling>
        <c:delete val="0"/>
        <c:axPos val="l"/>
        <c:majorGridlines>
          <c:spPr>
            <a:ln w="9525" cap="flat" cmpd="sng" algn="ctr">
              <a:solidFill>
                <a:schemeClr val="tx1">
                  <a:lumMod val="15000"/>
                  <a:lumOff val="85000"/>
                </a:schemeClr>
              </a:solidFill>
              <a:round/>
            </a:ln>
            <a:effectLst/>
          </c:spPr>
        </c:majorGridlines>
        <c:numFmt formatCode="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330299424"/>
        <c:crosses val="autoZero"/>
        <c:crossBetween val="between"/>
      </c:valAx>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lineChart>
        <c:grouping val="standard"/>
        <c:varyColors val="0"/>
        <c:ser>
          <c:idx val="0"/>
          <c:order val="0"/>
          <c:tx>
            <c:strRef>
              <c:f>'4. ir_LCM'!$D$1</c:f>
              <c:strCache>
                <c:ptCount val="1"/>
                <c:pt idx="0">
                  <c:v>Contractual IR 5%</c:v>
                </c:pt>
              </c:strCache>
            </c:strRef>
          </c:tx>
          <c:spPr>
            <a:ln w="28575" cap="rnd">
              <a:solidFill>
                <a:schemeClr val="accent3"/>
              </a:solidFill>
              <a:round/>
            </a:ln>
            <a:effectLst/>
          </c:spPr>
          <c:marker>
            <c:symbol val="none"/>
          </c:marker>
          <c:cat>
            <c:strRef>
              <c:f>'4. ir_LCM'!$A$15:$A$19</c:f>
              <c:strCache>
                <c:ptCount val="5"/>
                <c:pt idx="0">
                  <c:v>Jan</c:v>
                </c:pt>
                <c:pt idx="1">
                  <c:v>Feb</c:v>
                </c:pt>
                <c:pt idx="2">
                  <c:v>Mar</c:v>
                </c:pt>
                <c:pt idx="3">
                  <c:v>Apr</c:v>
                </c:pt>
                <c:pt idx="4">
                  <c:v>May</c:v>
                </c:pt>
              </c:strCache>
            </c:strRef>
          </c:cat>
          <c:val>
            <c:numRef>
              <c:f>'4. ir_LCM'!$D$15:$D$19</c:f>
              <c:numCache>
                <c:formatCode>0%</c:formatCode>
                <c:ptCount val="5"/>
                <c:pt idx="0">
                  <c:v>0.05</c:v>
                </c:pt>
                <c:pt idx="1">
                  <c:v>0.05</c:v>
                </c:pt>
                <c:pt idx="2">
                  <c:v>0.05</c:v>
                </c:pt>
                <c:pt idx="3">
                  <c:v>0.05</c:v>
                </c:pt>
                <c:pt idx="4">
                  <c:v>0.05</c:v>
                </c:pt>
              </c:numCache>
            </c:numRef>
          </c:val>
          <c:smooth val="0"/>
          <c:extLst>
            <c:ext xmlns:c16="http://schemas.microsoft.com/office/drawing/2014/chart" uri="{C3380CC4-5D6E-409C-BE32-E72D297353CC}">
              <c16:uniqueId val="{00000000-8D50-4B11-B2AE-30EB353855D8}"/>
            </c:ext>
          </c:extLst>
        </c:ser>
        <c:ser>
          <c:idx val="1"/>
          <c:order val="1"/>
          <c:tx>
            <c:strRef>
              <c:f>'4. ir_LCM_2024'!#REF!</c:f>
              <c:strCache>
                <c:ptCount val="1"/>
                <c:pt idx="0">
                  <c:v>#REF!</c:v>
                </c:pt>
              </c:strCache>
              <c:extLst xmlns:c15="http://schemas.microsoft.com/office/drawing/2012/chart"/>
            </c:strRef>
          </c:tx>
          <c:spPr>
            <a:ln w="28575" cap="rnd">
              <a:solidFill>
                <a:schemeClr val="accent3"/>
              </a:solidFill>
              <a:round/>
            </a:ln>
            <a:effectLst/>
          </c:spPr>
          <c:marker>
            <c:symbol val="none"/>
          </c:marker>
          <c:cat>
            <c:strRef>
              <c:f>'4. ir_LCM'!$A$15:$A$19</c:f>
              <c:strCache>
                <c:ptCount val="5"/>
                <c:pt idx="0">
                  <c:v>Jan</c:v>
                </c:pt>
                <c:pt idx="1">
                  <c:v>Feb</c:v>
                </c:pt>
                <c:pt idx="2">
                  <c:v>Mar</c:v>
                </c:pt>
                <c:pt idx="3">
                  <c:v>Apr</c:v>
                </c:pt>
                <c:pt idx="4">
                  <c:v>May</c:v>
                </c:pt>
              </c:strCache>
            </c:strRef>
          </c:cat>
          <c:val>
            <c:numRef>
              <c:f>'4. ir_LCM_2024'!#REF!</c:f>
              <c:extLst xmlns:c15="http://schemas.microsoft.com/office/drawing/2012/chart"/>
            </c:numRef>
          </c:val>
          <c:smooth val="0"/>
          <c:extLst xmlns:c15="http://schemas.microsoft.com/office/drawing/2012/chart">
            <c:ext xmlns:c16="http://schemas.microsoft.com/office/drawing/2014/chart" uri="{C3380CC4-5D6E-409C-BE32-E72D297353CC}">
              <c16:uniqueId val="{00000001-8D50-4B11-B2AE-30EB353855D8}"/>
            </c:ext>
          </c:extLst>
        </c:ser>
        <c:ser>
          <c:idx val="2"/>
          <c:order val="2"/>
          <c:tx>
            <c:strRef>
              <c:f>'4. ir_LCM'!$E$1</c:f>
              <c:strCache>
                <c:ptCount val="1"/>
                <c:pt idx="0">
                  <c:v>Verifone</c:v>
                </c:pt>
              </c:strCache>
            </c:strRef>
          </c:tx>
          <c:spPr>
            <a:ln w="28575" cap="rnd">
              <a:solidFill>
                <a:schemeClr val="accent5"/>
              </a:solidFill>
              <a:round/>
            </a:ln>
            <a:effectLst/>
          </c:spPr>
          <c:marker>
            <c:symbol val="none"/>
          </c:marker>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'4. ir_LCM'!$A$15:$A$19</c:f>
              <c:strCache>
                <c:ptCount val="5"/>
                <c:pt idx="0">
                  <c:v>Jan</c:v>
                </c:pt>
                <c:pt idx="1">
                  <c:v>Feb</c:v>
                </c:pt>
                <c:pt idx="2">
                  <c:v>Mar</c:v>
                </c:pt>
                <c:pt idx="3">
                  <c:v>Apr</c:v>
                </c:pt>
                <c:pt idx="4">
                  <c:v>May</c:v>
                </c:pt>
              </c:strCache>
            </c:strRef>
          </c:cat>
          <c:val>
            <c:numRef>
              <c:f>'4. ir_LCM'!$E$15:$E$19</c:f>
              <c:numCache>
                <c:formatCode>0.0%</c:formatCode>
                <c:ptCount val="5"/>
                <c:pt idx="0">
                  <c:v>5.1671214188267395E-2</c:v>
                </c:pt>
                <c:pt idx="1">
                  <c:v>5.3791589258571186E-2</c:v>
                </c:pt>
                <c:pt idx="2">
                  <c:v>5.8421226104152936E-2</c:v>
                </c:pt>
                <c:pt idx="3">
                  <c:v>6.3627498781082398E-2</c:v>
                </c:pt>
                <c:pt idx="4">
                  <c:v>5.3170383302912468E-2</c:v>
                </c:pt>
              </c:numCache>
            </c:numRef>
          </c:val>
          <c:smooth val="0"/>
          <c:extLst>
            <c:ext xmlns:c16="http://schemas.microsoft.com/office/drawing/2014/chart" uri="{C3380CC4-5D6E-409C-BE32-E72D297353CC}">
              <c16:uniqueId val="{00000002-8D50-4B11-B2AE-30EB353855D8}"/>
            </c:ext>
          </c:extLst>
        </c:ser>
        <c:dLbls>
          <c:showLegendKey val="0"/>
          <c:showVal val="0"/>
          <c:showCatName val="0"/>
          <c:showSerName val="0"/>
          <c:showPercent val="0"/>
          <c:showBubbleSize val="0"/>
        </c:dLbls>
        <c:smooth val="0"/>
        <c:axId val="330299424"/>
        <c:axId val="1369376224"/>
        <c:extLst/>
      </c:lineChart>
      <c:catAx>
        <c:axId val="330299424"/>
        <c:scaling>
          <c:orientation val="minMax"/>
        </c:scaling>
        <c:delete val="0"/>
        <c:axPos val="b"/>
        <c:numFmt formatCode="General" sourceLinked="1"/>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369376224"/>
        <c:crosses val="autoZero"/>
        <c:auto val="1"/>
        <c:lblAlgn val="ctr"/>
        <c:lblOffset val="100"/>
        <c:noMultiLvlLbl val="0"/>
      </c:catAx>
      <c:valAx>
        <c:axId val="1369376224"/>
        <c:scaling>
          <c:orientation val="minMax"/>
          <c:max val="0.1"/>
        </c:scaling>
        <c:delete val="0"/>
        <c:axPos val="l"/>
        <c:majorGridlines>
          <c:spPr>
            <a:ln w="9525" cap="flat" cmpd="sng" algn="ctr">
              <a:solidFill>
                <a:schemeClr val="tx1">
                  <a:lumMod val="15000"/>
                  <a:lumOff val="85000"/>
                </a:schemeClr>
              </a:solidFill>
              <a:round/>
            </a:ln>
            <a:effectLst/>
          </c:spPr>
        </c:majorGridlines>
        <c:numFmt formatCode="0%" sourceLinked="1"/>
        <c:majorTickMark val="out"/>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330299424"/>
        <c:crosses val="autoZero"/>
        <c:crossBetween val="between"/>
      </c:valAx>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lineChart>
        <c:grouping val="standard"/>
        <c:varyColors val="0"/>
        <c:ser>
          <c:idx val="0"/>
          <c:order val="0"/>
          <c:tx>
            <c:strRef>
              <c:f>'4. ir_LCM_2024- old'!$D$1</c:f>
              <c:strCache>
                <c:ptCount val="1"/>
                <c:pt idx="0">
                  <c:v>Contractual IR 5%</c:v>
                </c:pt>
              </c:strCache>
            </c:strRef>
          </c:tx>
          <c:spPr>
            <a:ln w="28575" cap="rnd">
              <a:solidFill>
                <a:schemeClr val="accent3"/>
              </a:solidFill>
              <a:round/>
            </a:ln>
            <a:effectLst/>
          </c:spPr>
          <c:marker>
            <c:symbol val="none"/>
          </c:marker>
          <c:cat>
            <c:strRef>
              <c:f>'4. ir_LCM_2024- old'!$A$2:$A$11</c:f>
              <c:strCache>
                <c:ptCount val="10"/>
                <c:pt idx="0">
                  <c:v>Jan</c:v>
                </c:pt>
                <c:pt idx="1">
                  <c:v>Feb</c:v>
                </c:pt>
                <c:pt idx="2">
                  <c:v>Mar</c:v>
                </c:pt>
                <c:pt idx="3">
                  <c:v>Apr</c:v>
                </c:pt>
                <c:pt idx="4">
                  <c:v>May</c:v>
                </c:pt>
                <c:pt idx="5">
                  <c:v>Jun</c:v>
                </c:pt>
                <c:pt idx="6">
                  <c:v>Jul
 (old rate)</c:v>
                </c:pt>
                <c:pt idx="7">
                  <c:v>Jul
 (new rate)</c:v>
                </c:pt>
                <c:pt idx="8">
                  <c:v>Aug</c:v>
                </c:pt>
                <c:pt idx="9">
                  <c:v>Sep</c:v>
                </c:pt>
              </c:strCache>
              <c:extLst/>
            </c:strRef>
          </c:cat>
          <c:val>
            <c:numRef>
              <c:f>'4. ir_LCM_2024- old'!$D$2:$D$11</c:f>
              <c:numCache>
                <c:formatCode>0%</c:formatCode>
                <c:ptCount val="10"/>
                <c:pt idx="0">
                  <c:v>0.01</c:v>
                </c:pt>
                <c:pt idx="1">
                  <c:v>0.01</c:v>
                </c:pt>
                <c:pt idx="2">
                  <c:v>0.01</c:v>
                </c:pt>
                <c:pt idx="3">
                  <c:v>0.01</c:v>
                </c:pt>
                <c:pt idx="4">
                  <c:v>0.01</c:v>
                </c:pt>
                <c:pt idx="5">
                  <c:v>0.01</c:v>
                </c:pt>
                <c:pt idx="6">
                  <c:v>0.01</c:v>
                </c:pt>
                <c:pt idx="7">
                  <c:v>0.05</c:v>
                </c:pt>
                <c:pt idx="8">
                  <c:v>0.05</c:v>
                </c:pt>
                <c:pt idx="9">
                  <c:v>0.05</c:v>
                </c:pt>
              </c:numCache>
              <c:extLst/>
            </c:numRef>
          </c:val>
          <c:smooth val="0"/>
          <c:extLst>
            <c:ext xmlns:c16="http://schemas.microsoft.com/office/drawing/2014/chart" uri="{C3380CC4-5D6E-409C-BE32-E72D297353CC}">
              <c16:uniqueId val="{00000000-B622-429A-8CBA-2B01F489BF05}"/>
            </c:ext>
          </c:extLst>
        </c:ser>
        <c:ser>
          <c:idx val="1"/>
          <c:order val="1"/>
          <c:tx>
            <c:strRef>
              <c:f>'4. ir_LCM_2024'!#REF!</c:f>
              <c:strCache>
                <c:ptCount val="1"/>
                <c:pt idx="0">
                  <c:v>#REF!</c:v>
                </c:pt>
              </c:strCache>
            </c:strRef>
          </c:tx>
          <c:spPr>
            <a:ln w="28575" cap="rnd">
              <a:solidFill>
                <a:schemeClr val="accent3"/>
              </a:solidFill>
              <a:round/>
            </a:ln>
            <a:effectLst/>
          </c:spPr>
          <c:marker>
            <c:symbol val="none"/>
          </c:marker>
          <c:cat>
            <c:strRef>
              <c:f>'4. ir_LCM_2024- old'!$A$2:$A$11</c:f>
              <c:strCache>
                <c:ptCount val="10"/>
                <c:pt idx="0">
                  <c:v>Jan</c:v>
                </c:pt>
                <c:pt idx="1">
                  <c:v>Feb</c:v>
                </c:pt>
                <c:pt idx="2">
                  <c:v>Mar</c:v>
                </c:pt>
                <c:pt idx="3">
                  <c:v>Apr</c:v>
                </c:pt>
                <c:pt idx="4">
                  <c:v>May</c:v>
                </c:pt>
                <c:pt idx="5">
                  <c:v>Jun</c:v>
                </c:pt>
                <c:pt idx="6">
                  <c:v>Jul
 (old rate)</c:v>
                </c:pt>
                <c:pt idx="7">
                  <c:v>Jul
 (new rate)</c:v>
                </c:pt>
                <c:pt idx="8">
                  <c:v>Aug</c:v>
                </c:pt>
                <c:pt idx="9">
                  <c:v>Sep</c:v>
                </c:pt>
              </c:strCache>
              <c:extLst/>
            </c:strRef>
          </c:cat>
          <c:val>
            <c:numRef>
              <c:f>'4. ir_LCM_2024'!#REF!</c:f>
              <c:numCache>
                <c:formatCode>General</c:formatCode>
                <c:ptCount val="1"/>
                <c:pt idx="0">
                  <c:v>1</c:v>
                </c:pt>
              </c:numCache>
            </c:numRef>
          </c:val>
          <c:smooth val="0"/>
          <c:extLst>
            <c:ext xmlns:c16="http://schemas.microsoft.com/office/drawing/2014/chart" uri="{C3380CC4-5D6E-409C-BE32-E72D297353CC}">
              <c16:uniqueId val="{00000001-B622-429A-8CBA-2B01F489BF05}"/>
            </c:ext>
          </c:extLst>
        </c:ser>
        <c:ser>
          <c:idx val="2"/>
          <c:order val="2"/>
          <c:tx>
            <c:strRef>
              <c:f>'4. ir_LCM_2024- old'!$E$1</c:f>
              <c:strCache>
                <c:ptCount val="1"/>
                <c:pt idx="0">
                  <c:v>Verifone</c:v>
                </c:pt>
              </c:strCache>
            </c:strRef>
          </c:tx>
          <c:spPr>
            <a:ln w="28575" cap="rnd">
              <a:solidFill>
                <a:schemeClr val="accent5"/>
              </a:solidFill>
              <a:round/>
            </a:ln>
            <a:effectLst/>
          </c:spPr>
          <c:marker>
            <c:symbol val="none"/>
          </c:marker>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'4. ir_LCM_2024- old'!$A$2:$A$11</c:f>
              <c:strCache>
                <c:ptCount val="10"/>
                <c:pt idx="0">
                  <c:v>Jan</c:v>
                </c:pt>
                <c:pt idx="1">
                  <c:v>Feb</c:v>
                </c:pt>
                <c:pt idx="2">
                  <c:v>Mar</c:v>
                </c:pt>
                <c:pt idx="3">
                  <c:v>Apr</c:v>
                </c:pt>
                <c:pt idx="4">
                  <c:v>May</c:v>
                </c:pt>
                <c:pt idx="5">
                  <c:v>Jun</c:v>
                </c:pt>
                <c:pt idx="6">
                  <c:v>Jul
 (old rate)</c:v>
                </c:pt>
                <c:pt idx="7">
                  <c:v>Jul
 (new rate)</c:v>
                </c:pt>
                <c:pt idx="8">
                  <c:v>Aug</c:v>
                </c:pt>
                <c:pt idx="9">
                  <c:v>Sep</c:v>
                </c:pt>
              </c:strCache>
              <c:extLst/>
            </c:strRef>
          </c:cat>
          <c:val>
            <c:numRef>
              <c:f>'4. ir_LCM_2024- old'!$E$1:$E$10</c:f>
              <c:numCache>
                <c:formatCode>0.0%</c:formatCode>
                <c:ptCount val="10"/>
                <c:pt idx="0" formatCode="0%">
                  <c:v>0</c:v>
                </c:pt>
                <c:pt idx="1">
                  <c:v>5.9716297986310882E-2</c:v>
                </c:pt>
                <c:pt idx="2">
                  <c:v>4.6820751909532783E-2</c:v>
                </c:pt>
                <c:pt idx="3">
                  <c:v>5.3764497739335559E-2</c:v>
                </c:pt>
                <c:pt idx="4">
                  <c:v>5.3835535397357526E-2</c:v>
                </c:pt>
                <c:pt idx="5">
                  <c:v>4.9769850402761794E-2</c:v>
                </c:pt>
                <c:pt idx="6">
                  <c:v>5.4089834515366433E-2</c:v>
                </c:pt>
                <c:pt idx="7">
                  <c:v>3.0539311241065625E-2</c:v>
                </c:pt>
                <c:pt idx="8">
                  <c:v>3.0260837278381136E-2</c:v>
                </c:pt>
                <c:pt idx="9">
                  <c:v>4.997293884178243E-2</c:v>
                </c:pt>
              </c:numCache>
              <c:extLst/>
            </c:numRef>
          </c:val>
          <c:smooth val="0"/>
          <c:extLst>
            <c:ext xmlns:c16="http://schemas.microsoft.com/office/drawing/2014/chart" uri="{C3380CC4-5D6E-409C-BE32-E72D297353CC}">
              <c16:uniqueId val="{00000002-B622-429A-8CBA-2B01F489BF05}"/>
            </c:ext>
          </c:extLst>
        </c:ser>
        <c:dLbls>
          <c:showLegendKey val="0"/>
          <c:showVal val="0"/>
          <c:showCatName val="0"/>
          <c:showSerName val="0"/>
          <c:showPercent val="0"/>
          <c:showBubbleSize val="0"/>
        </c:dLbls>
        <c:smooth val="0"/>
        <c:axId val="330299424"/>
        <c:axId val="1369376224"/>
      </c:lineChart>
      <c:catAx>
        <c:axId val="330299424"/>
        <c:scaling>
          <c:orientation val="minMax"/>
        </c:scaling>
        <c:delete val="0"/>
        <c:axPos val="b"/>
        <c:numFmt formatCode="General" sourceLinked="1"/>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369376224"/>
        <c:crosses val="autoZero"/>
        <c:auto val="1"/>
        <c:lblAlgn val="ctr"/>
        <c:lblOffset val="100"/>
        <c:noMultiLvlLbl val="0"/>
      </c:catAx>
      <c:valAx>
        <c:axId val="1369376224"/>
        <c:scaling>
          <c:orientation val="minMax"/>
          <c:max val="0.1"/>
        </c:scaling>
        <c:delete val="0"/>
        <c:axPos val="l"/>
        <c:majorGridlines>
          <c:spPr>
            <a:ln w="9525" cap="flat" cmpd="sng" algn="ctr">
              <a:solidFill>
                <a:schemeClr val="tx1">
                  <a:lumMod val="15000"/>
                  <a:lumOff val="85000"/>
                </a:schemeClr>
              </a:solidFill>
              <a:round/>
            </a:ln>
            <a:effectLst/>
          </c:spPr>
        </c:majorGridlines>
        <c:numFmt formatCode="0%" sourceLinked="1"/>
        <c:majorTickMark val="out"/>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330299424"/>
        <c:crosses val="autoZero"/>
        <c:crossBetween val="between"/>
      </c:valAx>
      <c:spPr>
        <a:noFill/>
        <a:ln>
          <a:noFill/>
        </a:ln>
        <a:effectLst/>
      </c:spPr>
    </c:plotArea>
    <c:legend>
      <c:legendPos val="b"/>
      <c:legendEntry>
        <c:idx val="1"/>
        <c:delete val="1"/>
      </c:legendEntry>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1">
  <a:schemeClr val="accent1"/>
  <a:schemeClr val="accent3"/>
  <a:schemeClr val="accent5"/>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1">
  <a:schemeClr val="accent1"/>
  <a:schemeClr val="accent3"/>
  <a:schemeClr val="accent5"/>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1">
  <a:schemeClr val="accent1"/>
  <a:schemeClr val="accent3"/>
  <a:schemeClr val="accent5"/>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1">
  <a:schemeClr val="accent1"/>
  <a:schemeClr val="accent3"/>
  <a:schemeClr val="accent5"/>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1">
  <a:schemeClr val="accent1"/>
  <a:schemeClr val="accent3"/>
  <a:schemeClr val="accent5"/>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6.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3" Type="http://schemas.openxmlformats.org/officeDocument/2006/relationships/hyperlink" Target="#Overages!A1"/><Relationship Id="rId2" Type="http://schemas.openxmlformats.org/officeDocument/2006/relationships/chart" Target="../charts/chart1.xml"/><Relationship Id="rId1" Type="http://schemas.openxmlformats.org/officeDocument/2006/relationships/image" Target="../media/image1.png"/><Relationship Id="rId5" Type="http://schemas.openxmlformats.org/officeDocument/2006/relationships/chart" Target="../charts/chart3.xml"/><Relationship Id="rId4" Type="http://schemas.openxmlformats.org/officeDocument/2006/relationships/chart" Target="../charts/chart2.xml"/></Relationships>
</file>

<file path=xl/drawings/_rels/drawing2.xml.rels><?xml version="1.0" encoding="UTF-8" standalone="yes"?>
<Relationships xmlns="http://schemas.openxmlformats.org/package/2006/relationships"><Relationship Id="rId1" Type="http://schemas.openxmlformats.org/officeDocument/2006/relationships/chart" Target="../charts/chart4.xml"/></Relationships>
</file>

<file path=xl/drawings/_rels/drawing3.xml.rels><?xml version="1.0" encoding="UTF-8" standalone="yes"?>
<Relationships xmlns="http://schemas.openxmlformats.org/package/2006/relationships"><Relationship Id="rId1" Type="http://schemas.openxmlformats.org/officeDocument/2006/relationships/chart" Target="../charts/chart5.xml"/></Relationships>
</file>

<file path=xl/drawings/_rels/drawing4.xml.rels><?xml version="1.0" encoding="UTF-8" standalone="yes"?>
<Relationships xmlns="http://schemas.openxmlformats.org/package/2006/relationships"><Relationship Id="rId1" Type="http://schemas.openxmlformats.org/officeDocument/2006/relationships/chart" Target="../charts/chart6.xml"/></Relationships>
</file>

<file path=xl/drawings/drawing1.xml><?xml version="1.0" encoding="utf-8"?>
<xdr:wsDr xmlns:xdr="http://schemas.openxmlformats.org/drawingml/2006/spreadsheetDrawing" xmlns:a="http://schemas.openxmlformats.org/drawingml/2006/main">
  <xdr:twoCellAnchor editAs="oneCell">
    <xdr:from>
      <xdr:col>0</xdr:col>
      <xdr:colOff>579664</xdr:colOff>
      <xdr:row>1</xdr:row>
      <xdr:rowOff>76200</xdr:rowOff>
    </xdr:from>
    <xdr:to>
      <xdr:col>19</xdr:col>
      <xdr:colOff>5870</xdr:colOff>
      <xdr:row>7</xdr:row>
      <xdr:rowOff>0</xdr:rowOff>
    </xdr:to>
    <xdr:pic>
      <xdr:nvPicPr>
        <xdr:cNvPr id="6" name="Picture 5">
          <a:extLst>
            <a:ext uri="{FF2B5EF4-FFF2-40B4-BE49-F238E27FC236}">
              <a16:creationId xmlns:a16="http://schemas.microsoft.com/office/drawing/2014/main" id="{36BE9DE0-3944-4F7C-A326-6B3807E305DA}"/>
            </a:ext>
          </a:extLst>
        </xdr:cNvPr>
        <xdr:cNvPicPr>
          <a:picLocks noChangeAspect="1"/>
        </xdr:cNvPicPr>
      </xdr:nvPicPr>
      <xdr:blipFill>
        <a:blip xmlns:r="http://schemas.openxmlformats.org/officeDocument/2006/relationships" r:embed="rId1"/>
        <a:stretch>
          <a:fillRect/>
        </a:stretch>
      </xdr:blipFill>
      <xdr:spPr>
        <a:xfrm>
          <a:off x="579664" y="257629"/>
          <a:ext cx="10974135" cy="1012371"/>
        </a:xfrm>
        <a:prstGeom prst="rect">
          <a:avLst/>
        </a:prstGeom>
        <a:solidFill>
          <a:srgbClr val="FFFFFF">
            <a:shade val="85000"/>
          </a:srgbClr>
        </a:solidFill>
        <a:ln w="88900" cap="sq">
          <a:solidFill>
            <a:srgbClr val="FFFFFF"/>
          </a:solidFill>
          <a:miter lim="800000"/>
        </a:ln>
        <a:effectLst>
          <a:outerShdw blurRad="55000" dist="18000" dir="5400000" algn="tl" rotWithShape="0">
            <a:srgbClr val="000000">
              <a:alpha val="40000"/>
            </a:srgbClr>
          </a:outerShdw>
        </a:effectLst>
        <a:scene3d>
          <a:camera prst="orthographicFront"/>
          <a:lightRig rig="twoPt" dir="t">
            <a:rot lat="0" lon="0" rev="7200000"/>
          </a:lightRig>
        </a:scene3d>
        <a:sp3d>
          <a:bevelT w="25400" h="19050"/>
          <a:contourClr>
            <a:srgbClr val="FFFFFF"/>
          </a:contourClr>
        </a:sp3d>
      </xdr:spPr>
    </xdr:pic>
    <xdr:clientData/>
  </xdr:twoCellAnchor>
  <xdr:twoCellAnchor>
    <xdr:from>
      <xdr:col>0</xdr:col>
      <xdr:colOff>515409</xdr:colOff>
      <xdr:row>7</xdr:row>
      <xdr:rowOff>135164</xdr:rowOff>
    </xdr:from>
    <xdr:to>
      <xdr:col>9</xdr:col>
      <xdr:colOff>342372</xdr:colOff>
      <xdr:row>19</xdr:row>
      <xdr:rowOff>40971</xdr:rowOff>
    </xdr:to>
    <xdr:sp macro="" textlink="">
      <xdr:nvSpPr>
        <xdr:cNvPr id="43" name="Rectangle 18">
          <a:extLst>
            <a:ext uri="{FF2B5EF4-FFF2-40B4-BE49-F238E27FC236}">
              <a16:creationId xmlns:a16="http://schemas.microsoft.com/office/drawing/2014/main" id="{A492E069-2752-42BC-8A5E-A56986C1901F}"/>
            </a:ext>
          </a:extLst>
        </xdr:cNvPr>
        <xdr:cNvSpPr/>
      </xdr:nvSpPr>
      <xdr:spPr>
        <a:xfrm>
          <a:off x="515409" y="1405164"/>
          <a:ext cx="5297034" cy="2082950"/>
        </a:xfrm>
        <a:prstGeom prst="rect">
          <a:avLst/>
        </a:prstGeom>
        <a:solidFill>
          <a:schemeClr val="bg1"/>
        </a:solidFill>
        <a:ln>
          <a:noFill/>
        </a:ln>
        <a:effectLst>
          <a:outerShdw blurRad="63500" sx="102000" sy="102000" algn="ctr" rotWithShape="0">
            <a:prstClr val="black">
              <a:alpha val="40000"/>
            </a:prstClr>
          </a:outerShdw>
        </a:effectLst>
        <a:scene3d>
          <a:camera prst="orthographicFront">
            <a:rot lat="0" lon="0" rev="0"/>
          </a:camera>
          <a:lightRig rig="brightRoom" dir="t">
            <a:rot lat="0" lon="0" rev="600000"/>
          </a:lightRig>
        </a:scene3d>
        <a:sp3d prstMaterial="metal">
          <a:bevelT w="38100" h="57150" prst="angle"/>
        </a:sp3d>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9</xdr:col>
      <xdr:colOff>544286</xdr:colOff>
      <xdr:row>7</xdr:row>
      <xdr:rowOff>123977</xdr:rowOff>
    </xdr:from>
    <xdr:to>
      <xdr:col>18</xdr:col>
      <xdr:colOff>571274</xdr:colOff>
      <xdr:row>19</xdr:row>
      <xdr:rowOff>25200</xdr:rowOff>
    </xdr:to>
    <xdr:sp macro="" textlink="">
      <xdr:nvSpPr>
        <xdr:cNvPr id="22" name="Rectangle 21">
          <a:extLst>
            <a:ext uri="{FF2B5EF4-FFF2-40B4-BE49-F238E27FC236}">
              <a16:creationId xmlns:a16="http://schemas.microsoft.com/office/drawing/2014/main" id="{7A1F32F5-8DDF-47D7-9110-92A063D0AEC1}"/>
            </a:ext>
          </a:extLst>
        </xdr:cNvPr>
        <xdr:cNvSpPr/>
      </xdr:nvSpPr>
      <xdr:spPr>
        <a:xfrm>
          <a:off x="6014357" y="1393977"/>
          <a:ext cx="5497060" cy="2078366"/>
        </a:xfrm>
        <a:prstGeom prst="rect">
          <a:avLst/>
        </a:prstGeom>
        <a:solidFill>
          <a:schemeClr val="bg1"/>
        </a:solidFill>
        <a:ln>
          <a:noFill/>
        </a:ln>
        <a:effectLst>
          <a:outerShdw blurRad="63500" sx="102000" sy="102000" algn="ctr" rotWithShape="0">
            <a:prstClr val="black">
              <a:alpha val="40000"/>
            </a:prstClr>
          </a:outerShdw>
        </a:effectLst>
        <a:scene3d>
          <a:camera prst="orthographicFront">
            <a:rot lat="0" lon="0" rev="0"/>
          </a:camera>
          <a:lightRig rig="brightRoom" dir="t">
            <a:rot lat="0" lon="0" rev="600000"/>
          </a:lightRig>
        </a:scene3d>
        <a:sp3d prstMaterial="metal">
          <a:bevelT w="38100" h="57150" prst="angle"/>
        </a:sp3d>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1</xdr:col>
      <xdr:colOff>209550</xdr:colOff>
      <xdr:row>2</xdr:row>
      <xdr:rowOff>6350</xdr:rowOff>
    </xdr:from>
    <xdr:to>
      <xdr:col>12</xdr:col>
      <xdr:colOff>347382</xdr:colOff>
      <xdr:row>5</xdr:row>
      <xdr:rowOff>82550</xdr:rowOff>
    </xdr:to>
    <xdr:sp macro="" textlink="">
      <xdr:nvSpPr>
        <xdr:cNvPr id="224" name="TextBox 27">
          <a:extLst>
            <a:ext uri="{FF2B5EF4-FFF2-40B4-BE49-F238E27FC236}">
              <a16:creationId xmlns:a16="http://schemas.microsoft.com/office/drawing/2014/main" id="{CCFCB8FA-9700-20C0-96DD-EA8F18BE74B4}"/>
            </a:ext>
          </a:extLst>
        </xdr:cNvPr>
        <xdr:cNvSpPr txBox="1"/>
      </xdr:nvSpPr>
      <xdr:spPr>
        <a:xfrm>
          <a:off x="814668" y="387350"/>
          <a:ext cx="6794126" cy="647700"/>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marL="0" indent="0" algn="l"/>
          <a:r>
            <a:rPr lang="en-US" sz="3200" b="1">
              <a:solidFill>
                <a:srgbClr val="156299"/>
              </a:solidFill>
              <a:latin typeface="+mn-lt"/>
              <a:ea typeface="+mn-ea"/>
              <a:cs typeface="+mn-cs"/>
            </a:rPr>
            <a:t>Scorecard </a:t>
          </a:r>
          <a:r>
            <a:rPr lang="en-US" sz="1100" b="1">
              <a:solidFill>
                <a:srgbClr val="156299"/>
              </a:solidFill>
              <a:latin typeface="+mn-lt"/>
              <a:ea typeface="+mn-ea"/>
              <a:cs typeface="+mn-cs"/>
            </a:rPr>
            <a:t> </a:t>
          </a:r>
          <a:r>
            <a:rPr lang="en-US" sz="3200" b="1">
              <a:solidFill>
                <a:srgbClr val="156299"/>
              </a:solidFill>
              <a:latin typeface="+mn-lt"/>
              <a:ea typeface="+mn-ea"/>
              <a:cs typeface="+mn-cs"/>
            </a:rPr>
            <a:t>2026 - </a:t>
          </a:r>
          <a:r>
            <a:rPr lang="en-US" sz="3200" b="0">
              <a:solidFill>
                <a:srgbClr val="156299"/>
              </a:solidFill>
              <a:latin typeface="+mn-lt"/>
              <a:ea typeface="+mn-ea"/>
              <a:cs typeface="+mn-cs"/>
            </a:rPr>
            <a:t>IR &amp; Overage Trends</a:t>
          </a:r>
        </a:p>
      </xdr:txBody>
    </xdr:sp>
    <xdr:clientData/>
  </xdr:twoCellAnchor>
  <xdr:oneCellAnchor>
    <xdr:from>
      <xdr:col>1</xdr:col>
      <xdr:colOff>142875</xdr:colOff>
      <xdr:row>8</xdr:row>
      <xdr:rowOff>47625</xdr:rowOff>
    </xdr:from>
    <xdr:ext cx="2708275" cy="264560"/>
    <xdr:sp macro="" textlink="">
      <xdr:nvSpPr>
        <xdr:cNvPr id="35" name="TextBox 34">
          <a:extLst>
            <a:ext uri="{FF2B5EF4-FFF2-40B4-BE49-F238E27FC236}">
              <a16:creationId xmlns:a16="http://schemas.microsoft.com/office/drawing/2014/main" id="{E131E1A0-8F76-4472-AC19-19F0A73CD935}"/>
            </a:ext>
          </a:extLst>
        </xdr:cNvPr>
        <xdr:cNvSpPr txBox="1"/>
      </xdr:nvSpPr>
      <xdr:spPr>
        <a:xfrm>
          <a:off x="752475" y="1495425"/>
          <a:ext cx="2708275"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spAutoFit/>
        </a:bodyPr>
        <a:lstStyle/>
        <a:p>
          <a:r>
            <a:rPr lang="en-US" sz="1100" b="1">
              <a:solidFill>
                <a:schemeClr val="accent3">
                  <a:lumMod val="50000"/>
                </a:schemeClr>
              </a:solidFill>
            </a:rPr>
            <a:t>MOC Incident</a:t>
          </a:r>
          <a:r>
            <a:rPr lang="en-US" sz="1100" b="1" baseline="0">
              <a:solidFill>
                <a:schemeClr val="accent3">
                  <a:lumMod val="50000"/>
                </a:schemeClr>
              </a:solidFill>
            </a:rPr>
            <a:t> Rate Trends</a:t>
          </a:r>
          <a:endParaRPr lang="en-US" sz="1100" b="1">
            <a:solidFill>
              <a:schemeClr val="accent3">
                <a:lumMod val="50000"/>
              </a:schemeClr>
            </a:solidFill>
          </a:endParaRPr>
        </a:p>
      </xdr:txBody>
    </xdr:sp>
    <xdr:clientData/>
  </xdr:oneCellAnchor>
  <xdr:twoCellAnchor>
    <xdr:from>
      <xdr:col>10</xdr:col>
      <xdr:colOff>285750</xdr:colOff>
      <xdr:row>8</xdr:row>
      <xdr:rowOff>57150</xdr:rowOff>
    </xdr:from>
    <xdr:to>
      <xdr:col>14</xdr:col>
      <xdr:colOff>400050</xdr:colOff>
      <xdr:row>9</xdr:row>
      <xdr:rowOff>142875</xdr:rowOff>
    </xdr:to>
    <xdr:sp macro="" textlink="">
      <xdr:nvSpPr>
        <xdr:cNvPr id="48" name="TextBox 37">
          <a:extLst>
            <a:ext uri="{FF2B5EF4-FFF2-40B4-BE49-F238E27FC236}">
              <a16:creationId xmlns:a16="http://schemas.microsoft.com/office/drawing/2014/main" id="{54E7BC6E-5F56-1076-BF6E-36A3B3FDA7BE}"/>
            </a:ext>
          </a:extLst>
        </xdr:cNvPr>
        <xdr:cNvSpPr txBox="1"/>
      </xdr:nvSpPr>
      <xdr:spPr>
        <a:xfrm>
          <a:off x="6381750" y="1504950"/>
          <a:ext cx="2552700" cy="266700"/>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100" b="1" baseline="0">
              <a:solidFill>
                <a:schemeClr val="accent3">
                  <a:lumMod val="50000"/>
                </a:schemeClr>
              </a:solidFill>
              <a:latin typeface="+mn-lt"/>
              <a:ea typeface="+mn-ea"/>
              <a:cs typeface="+mn-cs"/>
            </a:rPr>
            <a:t>LCM Incident Rate Trends</a:t>
          </a:r>
        </a:p>
        <a:p>
          <a:endParaRPr lang="en-US" sz="1100"/>
        </a:p>
      </xdr:txBody>
    </xdr:sp>
    <xdr:clientData/>
  </xdr:twoCellAnchor>
  <xdr:twoCellAnchor>
    <xdr:from>
      <xdr:col>0</xdr:col>
      <xdr:colOff>523313</xdr:colOff>
      <xdr:row>20</xdr:row>
      <xdr:rowOff>38100</xdr:rowOff>
    </xdr:from>
    <xdr:to>
      <xdr:col>18</xdr:col>
      <xdr:colOff>593911</xdr:colOff>
      <xdr:row>43</xdr:row>
      <xdr:rowOff>168088</xdr:rowOff>
    </xdr:to>
    <xdr:sp macro="" textlink="">
      <xdr:nvSpPr>
        <xdr:cNvPr id="110" name="Rectangle 3">
          <a:extLst>
            <a:ext uri="{FF2B5EF4-FFF2-40B4-BE49-F238E27FC236}">
              <a16:creationId xmlns:a16="http://schemas.microsoft.com/office/drawing/2014/main" id="{34528B71-1273-4608-847E-A28752CFF89D}"/>
            </a:ext>
          </a:extLst>
        </xdr:cNvPr>
        <xdr:cNvSpPr/>
      </xdr:nvSpPr>
      <xdr:spPr>
        <a:xfrm>
          <a:off x="523313" y="3848100"/>
          <a:ext cx="10962716" cy="4511488"/>
        </a:xfrm>
        <a:prstGeom prst="rect">
          <a:avLst/>
        </a:prstGeom>
        <a:solidFill>
          <a:schemeClr val="bg1"/>
        </a:solidFill>
        <a:ln>
          <a:noFill/>
        </a:ln>
        <a:effectLst>
          <a:outerShdw blurRad="63500" sx="102000" sy="102000" algn="ctr" rotWithShape="0">
            <a:prstClr val="black">
              <a:alpha val="40000"/>
            </a:prstClr>
          </a:outerShdw>
        </a:effectLst>
        <a:scene3d>
          <a:camera prst="orthographicFront">
            <a:rot lat="0" lon="0" rev="0"/>
          </a:camera>
          <a:lightRig rig="brightRoom" dir="t">
            <a:rot lat="0" lon="0" rev="600000"/>
          </a:lightRig>
        </a:scene3d>
        <a:sp3d prstMaterial="metal">
          <a:bevelT w="38100" h="57150" prst="angle"/>
        </a:sp3d>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1</xdr:col>
      <xdr:colOff>196104</xdr:colOff>
      <xdr:row>20</xdr:row>
      <xdr:rowOff>171450</xdr:rowOff>
    </xdr:from>
    <xdr:to>
      <xdr:col>5</xdr:col>
      <xdr:colOff>310405</xdr:colOff>
      <xdr:row>22</xdr:row>
      <xdr:rowOff>66675</xdr:rowOff>
    </xdr:to>
    <xdr:sp macro="" textlink="">
      <xdr:nvSpPr>
        <xdr:cNvPr id="203" name="TextBox 4">
          <a:extLst>
            <a:ext uri="{FF2B5EF4-FFF2-40B4-BE49-F238E27FC236}">
              <a16:creationId xmlns:a16="http://schemas.microsoft.com/office/drawing/2014/main" id="{8B24E2E0-C2DF-4FF1-8741-89CBDF8A64D7}"/>
            </a:ext>
          </a:extLst>
        </xdr:cNvPr>
        <xdr:cNvSpPr txBox="1"/>
      </xdr:nvSpPr>
      <xdr:spPr>
        <a:xfrm>
          <a:off x="801222" y="3981450"/>
          <a:ext cx="2534771" cy="276225"/>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100" b="1" baseline="0">
              <a:solidFill>
                <a:schemeClr val="accent3">
                  <a:lumMod val="50000"/>
                </a:schemeClr>
              </a:solidFill>
              <a:latin typeface="+mn-lt"/>
              <a:ea typeface="+mn-ea"/>
              <a:cs typeface="+mn-cs"/>
            </a:rPr>
            <a:t>Overage Trends</a:t>
          </a:r>
        </a:p>
        <a:p>
          <a:endParaRPr lang="en-US" sz="1100"/>
        </a:p>
      </xdr:txBody>
    </xdr:sp>
    <xdr:clientData/>
  </xdr:twoCellAnchor>
  <xdr:twoCellAnchor>
    <xdr:from>
      <xdr:col>1</xdr:col>
      <xdr:colOff>379316</xdr:colOff>
      <xdr:row>22</xdr:row>
      <xdr:rowOff>106455</xdr:rowOff>
    </xdr:from>
    <xdr:to>
      <xdr:col>18</xdr:col>
      <xdr:colOff>179292</xdr:colOff>
      <xdr:row>43</xdr:row>
      <xdr:rowOff>44822</xdr:rowOff>
    </xdr:to>
    <xdr:graphicFrame macro="">
      <xdr:nvGraphicFramePr>
        <xdr:cNvPr id="140" name="Chart 2">
          <a:extLst>
            <a:ext uri="{FF2B5EF4-FFF2-40B4-BE49-F238E27FC236}">
              <a16:creationId xmlns:a16="http://schemas.microsoft.com/office/drawing/2014/main" id="{43DE387E-159E-419F-9F59-E18A18A97D41}"/>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oneCellAnchor>
    <xdr:from>
      <xdr:col>15</xdr:col>
      <xdr:colOff>51893</xdr:colOff>
      <xdr:row>20</xdr:row>
      <xdr:rowOff>91647</xdr:rowOff>
    </xdr:from>
    <xdr:ext cx="1973554" cy="307497"/>
    <xdr:sp macro="" textlink="">
      <xdr:nvSpPr>
        <xdr:cNvPr id="192" name="TextBox 6">
          <a:hlinkClick xmlns:r="http://schemas.openxmlformats.org/officeDocument/2006/relationships" r:id="rId3"/>
          <a:extLst>
            <a:ext uri="{FF2B5EF4-FFF2-40B4-BE49-F238E27FC236}">
              <a16:creationId xmlns:a16="http://schemas.microsoft.com/office/drawing/2014/main" id="{26210B18-BC26-0781-8AE3-FD21EBA172F3}"/>
            </a:ext>
          </a:extLst>
        </xdr:cNvPr>
        <xdr:cNvSpPr txBox="1"/>
      </xdr:nvSpPr>
      <xdr:spPr>
        <a:xfrm>
          <a:off x="9168679" y="3720218"/>
          <a:ext cx="1973554" cy="307497"/>
        </a:xfrm>
        <a:prstGeom prst="rect">
          <a:avLst/>
        </a:prstGeom>
        <a:solidFill>
          <a:schemeClr val="bg1">
            <a:lumMod val="95000"/>
          </a:schemeClr>
        </a:solidFill>
        <a:ln>
          <a:solidFill>
            <a:schemeClr val="bg2">
              <a:lumMod val="90000"/>
            </a:schemeClr>
          </a:solidFill>
        </a:ln>
      </xdr:spPr>
      <xdr:style>
        <a:lnRef idx="0">
          <a:scrgbClr r="0" g="0" b="0"/>
        </a:lnRef>
        <a:fillRef idx="0">
          <a:scrgbClr r="0" g="0" b="0"/>
        </a:fillRef>
        <a:effectRef idx="0">
          <a:scrgbClr r="0" g="0" b="0"/>
        </a:effectRef>
        <a:fontRef idx="minor">
          <a:schemeClr val="tx1"/>
        </a:fontRef>
      </xdr:style>
      <xdr:txBody>
        <a:bodyPr vertOverflow="clip" horzOverflow="clip" wrap="square" rtlCol="0" anchor="t">
          <a:noAutofit/>
        </a:bodyPr>
        <a:lstStyle/>
        <a:p>
          <a:r>
            <a:rPr lang="en-US" sz="1100">
              <a:solidFill>
                <a:srgbClr val="FF0000"/>
              </a:solidFill>
            </a:rPr>
            <a:t>For detailed view, </a:t>
          </a:r>
          <a:r>
            <a:rPr lang="en-US" sz="1100" b="1">
              <a:solidFill>
                <a:srgbClr val="156299"/>
              </a:solidFill>
            </a:rPr>
            <a:t>click</a:t>
          </a:r>
          <a:r>
            <a:rPr lang="en-US" sz="1100" b="1" baseline="0">
              <a:solidFill>
                <a:srgbClr val="156299"/>
              </a:solidFill>
            </a:rPr>
            <a:t> here</a:t>
          </a:r>
          <a:endParaRPr lang="en-US" sz="1100" b="1">
            <a:solidFill>
              <a:srgbClr val="156299"/>
            </a:solidFill>
          </a:endParaRPr>
        </a:p>
      </xdr:txBody>
    </xdr:sp>
    <xdr:clientData/>
  </xdr:oneCellAnchor>
  <xdr:twoCellAnchor>
    <xdr:from>
      <xdr:col>1</xdr:col>
      <xdr:colOff>0</xdr:colOff>
      <xdr:row>9</xdr:row>
      <xdr:rowOff>127000</xdr:rowOff>
    </xdr:from>
    <xdr:to>
      <xdr:col>9</xdr:col>
      <xdr:colOff>261938</xdr:colOff>
      <xdr:row>18</xdr:row>
      <xdr:rowOff>87313</xdr:rowOff>
    </xdr:to>
    <xdr:graphicFrame macro="">
      <xdr:nvGraphicFramePr>
        <xdr:cNvPr id="4" name="Chart 3">
          <a:extLst>
            <a:ext uri="{FF2B5EF4-FFF2-40B4-BE49-F238E27FC236}">
              <a16:creationId xmlns:a16="http://schemas.microsoft.com/office/drawing/2014/main" id="{0BE69130-6DBF-43CA-9277-598CCCEF7939}"/>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10</xdr:col>
      <xdr:colOff>47625</xdr:colOff>
      <xdr:row>9</xdr:row>
      <xdr:rowOff>111125</xdr:rowOff>
    </xdr:from>
    <xdr:to>
      <xdr:col>18</xdr:col>
      <xdr:colOff>444500</xdr:colOff>
      <xdr:row>18</xdr:row>
      <xdr:rowOff>71438</xdr:rowOff>
    </xdr:to>
    <xdr:graphicFrame macro="">
      <xdr:nvGraphicFramePr>
        <xdr:cNvPr id="5" name="Chart 4">
          <a:extLst>
            <a:ext uri="{FF2B5EF4-FFF2-40B4-BE49-F238E27FC236}">
              <a16:creationId xmlns:a16="http://schemas.microsoft.com/office/drawing/2014/main" id="{FFA2291E-F595-4E86-BC77-76DF24EBF375}"/>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wsDr>
</file>

<file path=xl/drawings/drawing2.xml><?xml version="1.0" encoding="utf-8"?>
<xdr:wsDr xmlns:xdr="http://schemas.openxmlformats.org/drawingml/2006/spreadsheetDrawing" xmlns:a="http://schemas.openxmlformats.org/drawingml/2006/main">
  <xdr:twoCellAnchor>
    <xdr:from>
      <xdr:col>0</xdr:col>
      <xdr:colOff>0</xdr:colOff>
      <xdr:row>39</xdr:row>
      <xdr:rowOff>176212</xdr:rowOff>
    </xdr:from>
    <xdr:to>
      <xdr:col>7</xdr:col>
      <xdr:colOff>266700</xdr:colOff>
      <xdr:row>54</xdr:row>
      <xdr:rowOff>61912</xdr:rowOff>
    </xdr:to>
    <xdr:graphicFrame macro="">
      <xdr:nvGraphicFramePr>
        <xdr:cNvPr id="2" name="Chart 1">
          <a:extLst>
            <a:ext uri="{FF2B5EF4-FFF2-40B4-BE49-F238E27FC236}">
              <a16:creationId xmlns:a16="http://schemas.microsoft.com/office/drawing/2014/main" id="{CE32EE02-8D16-4AF3-AF9F-A6B2AF2F7E31}"/>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3.xml><?xml version="1.0" encoding="utf-8"?>
<xdr:wsDr xmlns:xdr="http://schemas.openxmlformats.org/drawingml/2006/spreadsheetDrawing" xmlns:a="http://schemas.openxmlformats.org/drawingml/2006/main">
  <xdr:twoCellAnchor>
    <xdr:from>
      <xdr:col>6</xdr:col>
      <xdr:colOff>203200</xdr:colOff>
      <xdr:row>0</xdr:row>
      <xdr:rowOff>423862</xdr:rowOff>
    </xdr:from>
    <xdr:to>
      <xdr:col>14</xdr:col>
      <xdr:colOff>209550</xdr:colOff>
      <xdr:row>38</xdr:row>
      <xdr:rowOff>95250</xdr:rowOff>
    </xdr:to>
    <xdr:graphicFrame macro="">
      <xdr:nvGraphicFramePr>
        <xdr:cNvPr id="2" name="Chart 1">
          <a:extLst>
            <a:ext uri="{FF2B5EF4-FFF2-40B4-BE49-F238E27FC236}">
              <a16:creationId xmlns:a16="http://schemas.microsoft.com/office/drawing/2014/main" id="{A0FCCA83-EBE3-461D-978F-E295043A3DD3}"/>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4.xml><?xml version="1.0" encoding="utf-8"?>
<xdr:wsDr xmlns:xdr="http://schemas.openxmlformats.org/drawingml/2006/spreadsheetDrawing" xmlns:a="http://schemas.openxmlformats.org/drawingml/2006/main">
  <xdr:twoCellAnchor>
    <xdr:from>
      <xdr:col>0</xdr:col>
      <xdr:colOff>0</xdr:colOff>
      <xdr:row>15</xdr:row>
      <xdr:rowOff>176212</xdr:rowOff>
    </xdr:from>
    <xdr:to>
      <xdr:col>6</xdr:col>
      <xdr:colOff>501650</xdr:colOff>
      <xdr:row>28</xdr:row>
      <xdr:rowOff>88900</xdr:rowOff>
    </xdr:to>
    <xdr:graphicFrame macro="">
      <xdr:nvGraphicFramePr>
        <xdr:cNvPr id="2" name="Chart 1">
          <a:extLst>
            <a:ext uri="{FF2B5EF4-FFF2-40B4-BE49-F238E27FC236}">
              <a16:creationId xmlns:a16="http://schemas.microsoft.com/office/drawing/2014/main" id="{FA954B59-BA0F-4103-969B-A7168C198B3D}"/>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externalLinks/_rels/externalLink1.xml.rels><?xml version="1.0" encoding="UTF-8" standalone="yes"?>
<Relationships xmlns="http://schemas.openxmlformats.org/package/2006/relationships"><Relationship Id="rId2" Type="http://schemas.openxmlformats.org/officeDocument/2006/relationships/externalLinkPath" Target="https://stratixcorp.sharepoint.com/sites/CustomerSuccess/Shared%20Documents/Dutch%20Bros/Bi-Weekly%20MOC%20trackers/2024/Dutch%20Bros_MOC%20Dashboard_7.17.24.xlsx" TargetMode="External"/><Relationship Id="rId1" Type="http://schemas.openxmlformats.org/officeDocument/2006/relationships/externalLinkPath" Target="https://stratixcorp.sharepoint.com/sites/CustomerSuccess/Shared%20Documents/Dutch%20Bros/Bi-Weekly%20MOC%20trackers/2024/Dutch%20Bros_MOC%20Dashboard_7.17.24.xlsx" TargetMode="External"/></Relationships>
</file>

<file path=xl/externalLinks/_rels/externalLink2.xml.rels><?xml version="1.0" encoding="UTF-8" standalone="yes"?>
<Relationships xmlns="http://schemas.openxmlformats.org/package/2006/relationships"><Relationship Id="rId2" Type="http://schemas.openxmlformats.org/officeDocument/2006/relationships/externalLinkPath" Target="https://stratixcorp.sharepoint.com/sites/CustomerSuccess/Shared%20Documents/Dutch%20Bros/Weekly%20Scorecard/Aug/Dutch%20Bros%20Scorecard%202024%20-%208.27.24.xlsx" TargetMode="External"/><Relationship Id="rId1" Type="http://schemas.openxmlformats.org/officeDocument/2006/relationships/externalLinkPath" Target="https://stratixcorp.sharepoint.com/sites/CustomerSuccess/Shared%20Documents/Dutch%20Bros/Weekly%20Scorecard/Aug/Dutch%20Bros%20Scorecard%202024%20-%208.27.24.xlsx"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xxl21:alternateUrls>
      <xxl21:absoluteUrl r:id="rId2"/>
    </xxl21:alternateUrls>
    <sheetNames>
      <sheetName val="1. MOC Dashboard"/>
      <sheetName val="2. MOC Metrics Details"/>
      <sheetName val="MOC Tickets - Details 2024"/>
      <sheetName val="Calculations - MOC Volume"/>
      <sheetName val="Key - Verifone vs nonVerifone"/>
      <sheetName val="4. ir_MOC_2024"/>
      <sheetName val="3. MOC 2024 Tickets-Details"/>
      <sheetName val="5. Key &amp; calculations"/>
      <sheetName val="Dutch Bros_MOC Dashboard_7.17"/>
    </sheetNames>
    <sheetDataSet>
      <sheetData sheetId="0"/>
      <sheetData sheetId="1"/>
      <sheetData sheetId="2"/>
      <sheetData sheetId="3"/>
      <sheetData sheetId="4"/>
      <sheetData sheetId="5"/>
      <sheetData sheetId="6"/>
      <sheetData sheetId="7"/>
      <sheetData sheetId="8" refreshError="1"/>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xxl21:alternateUrls>
      <xxl21:absoluteUrl r:id="rId2"/>
    </xxl21:alternateUrls>
    <sheetNames>
      <sheetName val="Scorecard"/>
      <sheetName val="Overages"/>
      <sheetName val="4. ir_MOC_2024"/>
      <sheetName val="4. ir_LCM_2024"/>
      <sheetName val="Scorecard v2"/>
      <sheetName val="MOC Data"/>
      <sheetName val="RMA HIstory"/>
    </sheetNames>
    <sheetDataSet>
      <sheetData sheetId="0"/>
      <sheetData sheetId="1">
        <row r="26">
          <cell r="B26">
            <v>330</v>
          </cell>
          <cell r="C26">
            <v>10773</v>
          </cell>
        </row>
        <row r="27">
          <cell r="B27">
            <v>334</v>
          </cell>
          <cell r="C27">
            <v>10773</v>
          </cell>
        </row>
        <row r="28">
          <cell r="C28">
            <v>11055</v>
          </cell>
        </row>
      </sheetData>
      <sheetData sheetId="2"/>
      <sheetData sheetId="3"/>
      <sheetData sheetId="4"/>
      <sheetData sheetId="5"/>
      <sheetData sheetId="6"/>
    </sheetDataSet>
  </externalBook>
</externalLink>
</file>

<file path=xl/theme/theme1.xml><?xml version="1.0" encoding="utf-8"?>
<a:theme xmlns:a="http://schemas.openxmlformats.org/drawingml/2006/main" name="Office 2013 - 2022 Theme">
  <a:themeElements>
    <a:clrScheme name="Office 2013 - 2022">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2013 - 2022">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2013 - 2022">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2013 - 2022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3.xml"/></Relationships>
</file>

<file path=xl/worksheets/_rels/sheet9.xml.rels><?xml version="1.0" encoding="UTF-8" standalone="yes"?>
<Relationships xmlns="http://schemas.openxmlformats.org/package/2006/relationships"><Relationship Id="rId1" Type="http://schemas.openxmlformats.org/officeDocument/2006/relationships/drawing" Target="../drawings/drawing4.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B2DB471-A2E8-488E-8601-7A5996E6C419}">
  <sheetPr>
    <tabColor theme="9" tint="0.79998168889431442"/>
  </sheetPr>
  <dimension ref="K1:U25"/>
  <sheetViews>
    <sheetView showGridLines="0" zoomScale="90" zoomScaleNormal="90" workbookViewId="0">
      <selection activeCell="U3" sqref="U3"/>
    </sheetView>
  </sheetViews>
  <sheetFormatPr defaultRowHeight="15.05" x14ac:dyDescent="0.3"/>
  <cols>
    <col min="21" max="21" width="12.44140625" bestFit="1" customWidth="1"/>
  </cols>
  <sheetData>
    <row r="1" spans="21:21" x14ac:dyDescent="0.3">
      <c r="U1" s="16" t="s">
        <v>0</v>
      </c>
    </row>
    <row r="2" spans="21:21" x14ac:dyDescent="0.3">
      <c r="U2" s="26">
        <v>46686</v>
      </c>
    </row>
    <row r="25" spans="11:11" x14ac:dyDescent="0.3">
      <c r="K25" s="25"/>
    </row>
  </sheetData>
  <pageMargins left="0.7" right="0.7" top="0.75" bottom="0.75" header="0.3" footer="0.3"/>
  <drawing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E37BFE3-79E5-4D80-AE2E-CDD1FC3EB768}">
  <dimension ref="A1:S82"/>
  <sheetViews>
    <sheetView tabSelected="1" topLeftCell="A30" zoomScaleNormal="100" workbookViewId="0">
      <selection activeCell="E75" sqref="E75"/>
    </sheetView>
  </sheetViews>
  <sheetFormatPr defaultRowHeight="15.05" x14ac:dyDescent="0.3"/>
  <cols>
    <col min="1" max="1" width="13.33203125" bestFit="1" customWidth="1"/>
    <col min="2" max="2" width="14.88671875" bestFit="1" customWidth="1"/>
    <col min="3" max="3" width="13.33203125" customWidth="1"/>
    <col min="4" max="4" width="19.5546875" customWidth="1"/>
    <col min="5" max="5" width="14.5546875" customWidth="1"/>
    <col min="6" max="6" width="13.5546875" customWidth="1"/>
    <col min="7" max="7" width="11.5546875" customWidth="1"/>
    <col min="8" max="8" width="5.44140625" customWidth="1"/>
    <col min="9" max="9" width="13.33203125" bestFit="1" customWidth="1"/>
    <col min="10" max="10" width="17.33203125" customWidth="1"/>
    <col min="11" max="11" width="17.5546875" bestFit="1" customWidth="1"/>
    <col min="12" max="12" width="18.109375" bestFit="1" customWidth="1"/>
    <col min="13" max="13" width="14.44140625" bestFit="1" customWidth="1"/>
    <col min="14" max="14" width="11.109375" bestFit="1" customWidth="1"/>
    <col min="15" max="15" width="4.5546875" customWidth="1"/>
    <col min="16" max="16" width="14.44140625" bestFit="1" customWidth="1"/>
    <col min="17" max="17" width="14.109375" bestFit="1" customWidth="1"/>
    <col min="18" max="18" width="11.33203125" bestFit="1" customWidth="1"/>
    <col min="19" max="19" width="8.6640625" style="11"/>
  </cols>
  <sheetData>
    <row r="1" spans="1:19" s="39" customFormat="1" ht="26.15" customHeight="1" x14ac:dyDescent="0.3">
      <c r="A1" s="65" t="s">
        <v>1</v>
      </c>
      <c r="B1" s="65"/>
      <c r="C1" s="65"/>
      <c r="D1" s="65"/>
      <c r="E1" s="65"/>
      <c r="F1" s="65"/>
      <c r="G1" s="38"/>
      <c r="I1" s="65" t="s">
        <v>2</v>
      </c>
      <c r="J1" s="65"/>
      <c r="K1" s="65"/>
      <c r="L1" s="65"/>
      <c r="M1" s="65"/>
      <c r="N1" s="65"/>
      <c r="O1" s="40"/>
      <c r="P1" s="64" t="s">
        <v>106</v>
      </c>
      <c r="Q1" s="65"/>
      <c r="R1" s="65"/>
      <c r="S1" s="65"/>
    </row>
    <row r="2" spans="1:19" s="20" customFormat="1" ht="25.7" x14ac:dyDescent="0.3">
      <c r="A2" s="17" t="s">
        <v>3</v>
      </c>
      <c r="B2" s="17" t="s">
        <v>4</v>
      </c>
      <c r="C2" s="17" t="s">
        <v>5</v>
      </c>
      <c r="D2" s="18" t="s">
        <v>105</v>
      </c>
      <c r="E2" s="18" t="s">
        <v>6</v>
      </c>
      <c r="F2" s="18" t="s">
        <v>7</v>
      </c>
      <c r="I2" s="21" t="s">
        <v>3</v>
      </c>
      <c r="J2" s="21" t="s">
        <v>4</v>
      </c>
      <c r="K2" s="21" t="s">
        <v>5</v>
      </c>
      <c r="L2" s="18" t="s">
        <v>105</v>
      </c>
      <c r="M2" s="21" t="s">
        <v>6</v>
      </c>
      <c r="N2" s="21" t="s">
        <v>7</v>
      </c>
      <c r="O2" s="36"/>
      <c r="P2" s="21" t="s">
        <v>101</v>
      </c>
      <c r="Q2" s="21" t="s">
        <v>103</v>
      </c>
      <c r="R2" s="21" t="s">
        <v>7</v>
      </c>
      <c r="S2" s="21" t="s">
        <v>104</v>
      </c>
    </row>
    <row r="3" spans="1:19" hidden="1" x14ac:dyDescent="0.3">
      <c r="A3" s="12" t="s">
        <v>8</v>
      </c>
      <c r="B3" s="12">
        <v>871</v>
      </c>
      <c r="C3" s="13">
        <v>10081</v>
      </c>
      <c r="D3" s="14">
        <f t="shared" ref="D3:D15" si="0">B3/C3</f>
        <v>8.6400158714413255E-2</v>
      </c>
      <c r="E3" s="12">
        <f t="shared" ref="E3:E8" si="1">ROUND((C3*3%),0)</f>
        <v>302</v>
      </c>
      <c r="F3" s="12">
        <f t="shared" ref="F3:F15" si="2">B3-E3</f>
        <v>569</v>
      </c>
      <c r="G3" s="36"/>
      <c r="I3" s="19" t="s">
        <v>8</v>
      </c>
      <c r="J3" s="19">
        <v>215</v>
      </c>
      <c r="K3" s="22">
        <v>7000</v>
      </c>
      <c r="L3" s="14">
        <f t="shared" ref="L3:L15" si="3">J3/K3</f>
        <v>3.0714285714285715E-2</v>
      </c>
      <c r="M3" s="19">
        <f>ROUND(K3*0.03,0)</f>
        <v>210</v>
      </c>
      <c r="N3" s="19">
        <f t="shared" ref="N3:N15" si="4">J3-M3</f>
        <v>5</v>
      </c>
      <c r="O3" s="36"/>
      <c r="P3" s="19"/>
      <c r="Q3" s="19"/>
      <c r="R3" s="19"/>
      <c r="S3" s="19"/>
    </row>
    <row r="4" spans="1:19" hidden="1" x14ac:dyDescent="0.3">
      <c r="A4" s="12" t="s">
        <v>9</v>
      </c>
      <c r="B4" s="12">
        <v>663</v>
      </c>
      <c r="C4" s="13">
        <v>10081</v>
      </c>
      <c r="D4" s="14">
        <f t="shared" si="0"/>
        <v>6.5767284991568295E-2</v>
      </c>
      <c r="E4" s="12">
        <f t="shared" si="1"/>
        <v>302</v>
      </c>
      <c r="F4" s="12">
        <f t="shared" si="2"/>
        <v>361</v>
      </c>
      <c r="G4" s="36"/>
      <c r="I4" s="19" t="s">
        <v>9</v>
      </c>
      <c r="J4" s="19">
        <v>218</v>
      </c>
      <c r="K4" s="22">
        <v>7000</v>
      </c>
      <c r="L4" s="14">
        <f t="shared" si="3"/>
        <v>3.1142857142857142E-2</v>
      </c>
      <c r="M4" s="19">
        <f t="shared" ref="M4:M9" si="5">ROUND(K4*0.03,0)</f>
        <v>210</v>
      </c>
      <c r="N4" s="19">
        <f t="shared" si="4"/>
        <v>8</v>
      </c>
      <c r="O4" s="36"/>
      <c r="P4" s="19"/>
      <c r="Q4" s="19"/>
      <c r="R4" s="19"/>
      <c r="S4" s="19"/>
    </row>
    <row r="5" spans="1:19" hidden="1" x14ac:dyDescent="0.3">
      <c r="A5" s="12" t="s">
        <v>10</v>
      </c>
      <c r="B5" s="12">
        <v>718</v>
      </c>
      <c r="C5" s="13">
        <v>10174</v>
      </c>
      <c r="D5" s="14">
        <f t="shared" si="0"/>
        <v>7.0572046392765875E-2</v>
      </c>
      <c r="E5" s="12">
        <f t="shared" si="1"/>
        <v>305</v>
      </c>
      <c r="F5" s="12">
        <f t="shared" si="2"/>
        <v>413</v>
      </c>
      <c r="G5" s="36"/>
      <c r="I5" s="19" t="s">
        <v>10</v>
      </c>
      <c r="J5" s="19">
        <v>276</v>
      </c>
      <c r="K5" s="22">
        <v>7000</v>
      </c>
      <c r="L5" s="14">
        <f t="shared" si="3"/>
        <v>3.9428571428571431E-2</v>
      </c>
      <c r="M5" s="19">
        <f t="shared" si="5"/>
        <v>210</v>
      </c>
      <c r="N5" s="19">
        <f t="shared" si="4"/>
        <v>66</v>
      </c>
      <c r="O5" s="36"/>
      <c r="P5" s="19"/>
      <c r="Q5" s="19"/>
      <c r="R5" s="19"/>
      <c r="S5" s="19"/>
    </row>
    <row r="6" spans="1:19" hidden="1" x14ac:dyDescent="0.3">
      <c r="A6" s="12" t="s">
        <v>11</v>
      </c>
      <c r="B6" s="12">
        <v>696</v>
      </c>
      <c r="C6" s="13">
        <v>10142</v>
      </c>
      <c r="D6" s="14">
        <f t="shared" si="0"/>
        <v>6.8625517649378825E-2</v>
      </c>
      <c r="E6" s="12">
        <f t="shared" si="1"/>
        <v>304</v>
      </c>
      <c r="F6" s="12">
        <f t="shared" si="2"/>
        <v>392</v>
      </c>
      <c r="G6" s="36"/>
      <c r="I6" s="19" t="s">
        <v>11</v>
      </c>
      <c r="J6" s="19">
        <v>288</v>
      </c>
      <c r="K6" s="19">
        <v>7000</v>
      </c>
      <c r="L6" s="14">
        <f t="shared" si="3"/>
        <v>4.1142857142857141E-2</v>
      </c>
      <c r="M6" s="19">
        <f t="shared" si="5"/>
        <v>210</v>
      </c>
      <c r="N6" s="19">
        <f t="shared" si="4"/>
        <v>78</v>
      </c>
      <c r="O6" s="36"/>
      <c r="P6" s="19"/>
      <c r="Q6" s="19"/>
      <c r="R6" s="19"/>
      <c r="S6" s="19"/>
    </row>
    <row r="7" spans="1:19" hidden="1" x14ac:dyDescent="0.3">
      <c r="A7" s="12" t="s">
        <v>12</v>
      </c>
      <c r="B7" s="12">
        <v>772</v>
      </c>
      <c r="C7" s="12">
        <v>10428</v>
      </c>
      <c r="D7" s="14">
        <f t="shared" si="0"/>
        <v>7.4031453778289222E-2</v>
      </c>
      <c r="E7" s="12">
        <f t="shared" si="1"/>
        <v>313</v>
      </c>
      <c r="F7" s="12">
        <f t="shared" si="2"/>
        <v>459</v>
      </c>
      <c r="G7" s="36"/>
      <c r="I7" s="19" t="s">
        <v>12</v>
      </c>
      <c r="J7" s="19">
        <v>364</v>
      </c>
      <c r="K7" s="19">
        <v>7000</v>
      </c>
      <c r="L7" s="14">
        <f t="shared" si="3"/>
        <v>5.1999999999999998E-2</v>
      </c>
      <c r="M7" s="19">
        <f t="shared" si="5"/>
        <v>210</v>
      </c>
      <c r="N7" s="19">
        <f t="shared" si="4"/>
        <v>154</v>
      </c>
      <c r="O7" s="36"/>
      <c r="P7" s="19"/>
      <c r="Q7" s="19"/>
      <c r="R7" s="19"/>
      <c r="S7" s="19"/>
    </row>
    <row r="8" spans="1:19" hidden="1" x14ac:dyDescent="0.3">
      <c r="A8" s="12" t="s">
        <v>13</v>
      </c>
      <c r="B8" s="12">
        <v>852</v>
      </c>
      <c r="C8" s="12">
        <v>10575</v>
      </c>
      <c r="D8" s="14">
        <f t="shared" si="0"/>
        <v>8.0567375886524822E-2</v>
      </c>
      <c r="E8" s="12">
        <f t="shared" si="1"/>
        <v>317</v>
      </c>
      <c r="F8" s="12">
        <f t="shared" si="2"/>
        <v>535</v>
      </c>
      <c r="G8" s="36"/>
      <c r="I8" s="19" t="s">
        <v>13</v>
      </c>
      <c r="J8" s="19">
        <v>491</v>
      </c>
      <c r="K8" s="19">
        <v>7000</v>
      </c>
      <c r="L8" s="14">
        <f t="shared" si="3"/>
        <v>7.0142857142857146E-2</v>
      </c>
      <c r="M8" s="19">
        <f t="shared" si="5"/>
        <v>210</v>
      </c>
      <c r="N8" s="19">
        <f t="shared" si="4"/>
        <v>281</v>
      </c>
      <c r="O8" s="36"/>
      <c r="P8" s="19"/>
      <c r="Q8" s="19"/>
      <c r="R8" s="19"/>
      <c r="S8" s="19"/>
    </row>
    <row r="9" spans="1:19" hidden="1" x14ac:dyDescent="0.3">
      <c r="A9" s="19" t="s">
        <v>94</v>
      </c>
      <c r="B9" s="12">
        <v>504</v>
      </c>
      <c r="C9" s="13">
        <v>10773</v>
      </c>
      <c r="D9" s="14">
        <f t="shared" ref="D9" si="6">B9/C9</f>
        <v>4.6783625730994149E-2</v>
      </c>
      <c r="E9" s="12">
        <f t="shared" ref="E9" si="7">ROUND((C9*3%),0)</f>
        <v>323</v>
      </c>
      <c r="F9" s="12">
        <f t="shared" ref="F9" si="8">B9-E9</f>
        <v>181</v>
      </c>
      <c r="G9" s="36"/>
      <c r="I9" s="19" t="s">
        <v>94</v>
      </c>
      <c r="J9" s="12">
        <v>187</v>
      </c>
      <c r="K9" s="19">
        <v>7000</v>
      </c>
      <c r="L9" s="14">
        <f t="shared" ref="L9" si="9">J9/K9</f>
        <v>2.6714285714285715E-2</v>
      </c>
      <c r="M9" s="19">
        <f t="shared" si="5"/>
        <v>210</v>
      </c>
      <c r="N9" s="19">
        <f t="shared" ref="N9" si="10">J9-M9</f>
        <v>-23</v>
      </c>
      <c r="O9" s="36"/>
      <c r="P9" s="19"/>
      <c r="Q9" s="19"/>
      <c r="R9" s="19"/>
      <c r="S9" s="19"/>
    </row>
    <row r="10" spans="1:19" hidden="1" x14ac:dyDescent="0.3">
      <c r="A10" s="19" t="s">
        <v>95</v>
      </c>
      <c r="B10" s="12">
        <v>450</v>
      </c>
      <c r="C10" s="13">
        <v>10773</v>
      </c>
      <c r="D10" s="14">
        <f t="shared" si="0"/>
        <v>4.1771094402673348E-2</v>
      </c>
      <c r="E10" s="12">
        <f>ROUND((C10*5%),0)</f>
        <v>539</v>
      </c>
      <c r="F10" s="12">
        <f t="shared" si="2"/>
        <v>-89</v>
      </c>
      <c r="G10" s="36"/>
      <c r="I10" s="19" t="s">
        <v>95</v>
      </c>
      <c r="J10" s="12">
        <v>227</v>
      </c>
      <c r="K10" s="19">
        <v>12174</v>
      </c>
      <c r="L10" s="14">
        <f t="shared" si="3"/>
        <v>1.8646295383604402E-2</v>
      </c>
      <c r="M10" s="19">
        <f>ROUND(K10*0.05,0)</f>
        <v>609</v>
      </c>
      <c r="N10" s="19">
        <f t="shared" si="4"/>
        <v>-382</v>
      </c>
      <c r="O10" s="36"/>
      <c r="P10" s="19"/>
      <c r="Q10" s="19"/>
      <c r="R10" s="19"/>
      <c r="S10" s="19"/>
    </row>
    <row r="11" spans="1:19" hidden="1" x14ac:dyDescent="0.3">
      <c r="A11" s="12" t="s">
        <v>14</v>
      </c>
      <c r="B11" s="12">
        <v>696</v>
      </c>
      <c r="C11" s="13">
        <v>11086</v>
      </c>
      <c r="D11" s="14">
        <f t="shared" si="0"/>
        <v>6.2781887064766367E-2</v>
      </c>
      <c r="E11" s="12">
        <f>ROUND((C11*5%),0)</f>
        <v>554</v>
      </c>
      <c r="F11" s="12">
        <f t="shared" si="2"/>
        <v>142</v>
      </c>
      <c r="G11" s="37"/>
      <c r="I11" s="19" t="s">
        <v>14</v>
      </c>
      <c r="J11" s="19">
        <v>422</v>
      </c>
      <c r="K11" s="19">
        <v>12174</v>
      </c>
      <c r="L11" s="14">
        <f t="shared" si="3"/>
        <v>3.4664038114013473E-2</v>
      </c>
      <c r="M11" s="19">
        <f t="shared" ref="M11:M15" si="11">ROUND(K11*0.05,0)</f>
        <v>609</v>
      </c>
      <c r="N11" s="19">
        <f t="shared" si="4"/>
        <v>-187</v>
      </c>
      <c r="O11" s="36"/>
      <c r="P11" s="19">
        <f>E11+M11</f>
        <v>1163</v>
      </c>
      <c r="Q11" s="19">
        <f>B11+J11</f>
        <v>1118</v>
      </c>
      <c r="R11" s="19">
        <f>Q11-P11</f>
        <v>-45</v>
      </c>
      <c r="S11" s="19" t="str">
        <f>IF(R11&lt;0,"$0",(R11*39))</f>
        <v>$0</v>
      </c>
    </row>
    <row r="12" spans="1:19" hidden="1" x14ac:dyDescent="0.3">
      <c r="A12" s="12" t="s">
        <v>15</v>
      </c>
      <c r="B12" s="12">
        <v>582</v>
      </c>
      <c r="C12" s="13">
        <v>11179</v>
      </c>
      <c r="D12" s="14">
        <f t="shared" si="0"/>
        <v>5.2061901780123446E-2</v>
      </c>
      <c r="E12" s="12">
        <f t="shared" ref="E12:E15" si="12">ROUND((C12*5%),0)</f>
        <v>559</v>
      </c>
      <c r="F12" s="12">
        <f t="shared" si="2"/>
        <v>23</v>
      </c>
      <c r="G12" s="36"/>
      <c r="I12" s="19" t="s">
        <v>15</v>
      </c>
      <c r="J12" s="19">
        <v>488</v>
      </c>
      <c r="K12" s="19">
        <v>12174</v>
      </c>
      <c r="L12" s="14">
        <f t="shared" si="3"/>
        <v>4.0085427961228846E-2</v>
      </c>
      <c r="M12" s="19">
        <f t="shared" si="11"/>
        <v>609</v>
      </c>
      <c r="N12" s="19">
        <f t="shared" si="4"/>
        <v>-121</v>
      </c>
      <c r="O12" s="36"/>
      <c r="P12" s="19">
        <f t="shared" ref="P12:P15" si="13">E12+M12</f>
        <v>1168</v>
      </c>
      <c r="Q12" s="19">
        <f t="shared" ref="Q12:Q15" si="14">B12+J12</f>
        <v>1070</v>
      </c>
      <c r="R12" s="19">
        <f t="shared" ref="R12:R15" si="15">Q12-P12</f>
        <v>-98</v>
      </c>
      <c r="S12" s="19" t="str">
        <f t="shared" ref="S12:S15" si="16">IF(R12&lt;0,"$0",(R12*39))</f>
        <v>$0</v>
      </c>
    </row>
    <row r="13" spans="1:19" hidden="1" x14ac:dyDescent="0.3">
      <c r="A13" s="12" t="s">
        <v>16</v>
      </c>
      <c r="B13" s="12">
        <v>591</v>
      </c>
      <c r="C13" s="13">
        <v>11304</v>
      </c>
      <c r="D13" s="14">
        <f t="shared" si="0"/>
        <v>5.2282377919320597E-2</v>
      </c>
      <c r="E13" s="12">
        <f t="shared" si="12"/>
        <v>565</v>
      </c>
      <c r="F13" s="12">
        <f t="shared" si="2"/>
        <v>26</v>
      </c>
      <c r="G13" s="36"/>
      <c r="I13" s="19" t="s">
        <v>16</v>
      </c>
      <c r="J13" s="19">
        <v>358</v>
      </c>
      <c r="K13" s="19">
        <v>12174</v>
      </c>
      <c r="L13" s="14">
        <f t="shared" si="3"/>
        <v>2.9406932807622802E-2</v>
      </c>
      <c r="M13" s="19">
        <f t="shared" si="11"/>
        <v>609</v>
      </c>
      <c r="N13" s="19">
        <f t="shared" si="4"/>
        <v>-251</v>
      </c>
      <c r="O13" s="36"/>
      <c r="P13" s="19">
        <f t="shared" si="13"/>
        <v>1174</v>
      </c>
      <c r="Q13" s="19">
        <f t="shared" si="14"/>
        <v>949</v>
      </c>
      <c r="R13" s="19">
        <f t="shared" si="15"/>
        <v>-225</v>
      </c>
      <c r="S13" s="19" t="str">
        <f t="shared" si="16"/>
        <v>$0</v>
      </c>
    </row>
    <row r="14" spans="1:19" hidden="1" x14ac:dyDescent="0.3">
      <c r="A14" s="12" t="s">
        <v>17</v>
      </c>
      <c r="B14" s="12">
        <v>591</v>
      </c>
      <c r="C14" s="12">
        <v>11343</v>
      </c>
      <c r="D14" s="14">
        <f t="shared" si="0"/>
        <v>5.2102618354932559E-2</v>
      </c>
      <c r="E14" s="12">
        <f t="shared" si="12"/>
        <v>567</v>
      </c>
      <c r="F14" s="12">
        <f t="shared" si="2"/>
        <v>24</v>
      </c>
      <c r="G14" s="36"/>
      <c r="I14" s="19" t="s">
        <v>17</v>
      </c>
      <c r="J14" s="19">
        <v>501</v>
      </c>
      <c r="K14" s="19">
        <v>12174</v>
      </c>
      <c r="L14" s="14">
        <f t="shared" si="3"/>
        <v>4.115327747658945E-2</v>
      </c>
      <c r="M14" s="19">
        <f t="shared" si="11"/>
        <v>609</v>
      </c>
      <c r="N14" s="19">
        <f t="shared" si="4"/>
        <v>-108</v>
      </c>
      <c r="O14" s="36"/>
      <c r="P14" s="19">
        <f t="shared" si="13"/>
        <v>1176</v>
      </c>
      <c r="Q14" s="19">
        <f t="shared" si="14"/>
        <v>1092</v>
      </c>
      <c r="R14" s="19">
        <f t="shared" si="15"/>
        <v>-84</v>
      </c>
      <c r="S14" s="19" t="str">
        <f t="shared" si="16"/>
        <v>$0</v>
      </c>
    </row>
    <row r="15" spans="1:19" hidden="1" x14ac:dyDescent="0.3">
      <c r="A15" s="12" t="s">
        <v>18</v>
      </c>
      <c r="B15" s="12">
        <v>647</v>
      </c>
      <c r="C15" s="12">
        <v>11447</v>
      </c>
      <c r="D15" s="14">
        <f t="shared" si="0"/>
        <v>5.6521359308115665E-2</v>
      </c>
      <c r="E15" s="12">
        <f t="shared" si="12"/>
        <v>572</v>
      </c>
      <c r="F15" s="12">
        <f t="shared" si="2"/>
        <v>75</v>
      </c>
      <c r="G15" s="36"/>
      <c r="I15" s="19" t="s">
        <v>18</v>
      </c>
      <c r="J15" s="19">
        <v>314</v>
      </c>
      <c r="K15" s="19">
        <v>12202</v>
      </c>
      <c r="L15" s="14">
        <f t="shared" si="3"/>
        <v>2.5733486313719061E-2</v>
      </c>
      <c r="M15" s="19">
        <f t="shared" si="11"/>
        <v>610</v>
      </c>
      <c r="N15" s="19">
        <f t="shared" si="4"/>
        <v>-296</v>
      </c>
      <c r="O15" s="36"/>
      <c r="P15" s="19">
        <f t="shared" si="13"/>
        <v>1182</v>
      </c>
      <c r="Q15" s="19">
        <f t="shared" si="14"/>
        <v>961</v>
      </c>
      <c r="R15" s="19">
        <f t="shared" si="15"/>
        <v>-221</v>
      </c>
      <c r="S15" s="19" t="str">
        <f t="shared" si="16"/>
        <v>$0</v>
      </c>
    </row>
    <row r="16" spans="1:19" hidden="1" x14ac:dyDescent="0.3">
      <c r="A16" s="12" t="s">
        <v>8</v>
      </c>
      <c r="B16" s="12">
        <v>707</v>
      </c>
      <c r="C16" s="12">
        <v>11728</v>
      </c>
      <c r="D16" s="14">
        <f t="shared" ref="D16:D19" si="17">B16/C16</f>
        <v>6.0283083219645296E-2</v>
      </c>
      <c r="E16" s="12">
        <f t="shared" ref="E16:E19" si="18">ROUND((C16*5%),0)</f>
        <v>586</v>
      </c>
      <c r="F16" s="12">
        <f t="shared" ref="F16:F19" si="19">B16-E16</f>
        <v>121</v>
      </c>
      <c r="G16" s="36"/>
      <c r="I16" s="19" t="s">
        <v>8</v>
      </c>
      <c r="J16" s="19">
        <v>276</v>
      </c>
      <c r="K16" s="19">
        <v>12202</v>
      </c>
      <c r="L16" s="14">
        <f t="shared" ref="L16:L19" si="20">J16/K16</f>
        <v>2.2619242747090641E-2</v>
      </c>
      <c r="M16" s="19">
        <f t="shared" ref="M16:M19" si="21">ROUND(K16*0.05,0)</f>
        <v>610</v>
      </c>
      <c r="N16" s="19">
        <f t="shared" ref="N16:N19" si="22">J16-M16</f>
        <v>-334</v>
      </c>
      <c r="O16" s="36"/>
      <c r="P16" s="19">
        <f t="shared" ref="P16:P19" si="23">E16+M16</f>
        <v>1196</v>
      </c>
      <c r="Q16" s="19">
        <f t="shared" ref="Q16:Q19" si="24">B16+J16</f>
        <v>983</v>
      </c>
      <c r="R16" s="19">
        <f t="shared" ref="R16:R19" si="25">Q16-P16</f>
        <v>-213</v>
      </c>
      <c r="S16" s="19" t="str">
        <f t="shared" ref="S16:S24" si="26">IF(R16&lt;0,"$0",(R16*39))</f>
        <v>$0</v>
      </c>
    </row>
    <row r="17" spans="1:19" hidden="1" x14ac:dyDescent="0.3">
      <c r="A17" s="12" t="s">
        <v>9</v>
      </c>
      <c r="B17" s="12">
        <v>713</v>
      </c>
      <c r="C17" s="12">
        <v>11842</v>
      </c>
      <c r="D17" s="14">
        <f t="shared" si="17"/>
        <v>6.0209424083769635E-2</v>
      </c>
      <c r="E17" s="12">
        <f t="shared" si="18"/>
        <v>592</v>
      </c>
      <c r="F17" s="12">
        <f t="shared" si="19"/>
        <v>121</v>
      </c>
      <c r="G17" s="36"/>
      <c r="I17" s="19" t="s">
        <v>9</v>
      </c>
      <c r="J17" s="19">
        <v>226</v>
      </c>
      <c r="K17" s="19">
        <v>12202</v>
      </c>
      <c r="L17" s="14">
        <f t="shared" si="20"/>
        <v>1.8521553843632192E-2</v>
      </c>
      <c r="M17" s="19">
        <f t="shared" si="21"/>
        <v>610</v>
      </c>
      <c r="N17" s="19">
        <f t="shared" si="22"/>
        <v>-384</v>
      </c>
      <c r="O17" s="36"/>
      <c r="P17" s="19">
        <f t="shared" si="23"/>
        <v>1202</v>
      </c>
      <c r="Q17" s="19">
        <f t="shared" si="24"/>
        <v>939</v>
      </c>
      <c r="R17" s="19">
        <f t="shared" si="25"/>
        <v>-263</v>
      </c>
      <c r="S17" s="19" t="str">
        <f t="shared" si="26"/>
        <v>$0</v>
      </c>
    </row>
    <row r="18" spans="1:19" hidden="1" x14ac:dyDescent="0.3">
      <c r="A18" s="12" t="s">
        <v>10</v>
      </c>
      <c r="B18" s="12">
        <v>844</v>
      </c>
      <c r="C18" s="12">
        <v>12136</v>
      </c>
      <c r="D18" s="14">
        <f t="shared" si="17"/>
        <v>6.9545154911008572E-2</v>
      </c>
      <c r="E18" s="12">
        <f t="shared" si="18"/>
        <v>607</v>
      </c>
      <c r="F18" s="12">
        <f t="shared" si="19"/>
        <v>237</v>
      </c>
      <c r="G18" s="36"/>
      <c r="I18" s="19" t="s">
        <v>10</v>
      </c>
      <c r="J18" s="19">
        <v>156</v>
      </c>
      <c r="K18" s="19">
        <v>12202</v>
      </c>
      <c r="L18" s="14">
        <f t="shared" si="20"/>
        <v>1.2784789378790361E-2</v>
      </c>
      <c r="M18" s="19">
        <f t="shared" si="21"/>
        <v>610</v>
      </c>
      <c r="N18" s="19">
        <f t="shared" si="22"/>
        <v>-454</v>
      </c>
      <c r="O18" s="36"/>
      <c r="P18" s="19">
        <f t="shared" si="23"/>
        <v>1217</v>
      </c>
      <c r="Q18" s="19">
        <f t="shared" si="24"/>
        <v>1000</v>
      </c>
      <c r="R18" s="19">
        <f t="shared" si="25"/>
        <v>-217</v>
      </c>
      <c r="S18" s="19" t="str">
        <f t="shared" si="26"/>
        <v>$0</v>
      </c>
    </row>
    <row r="19" spans="1:19" hidden="1" x14ac:dyDescent="0.3">
      <c r="A19" s="12" t="s">
        <v>11</v>
      </c>
      <c r="B19" s="12">
        <v>824</v>
      </c>
      <c r="C19" s="12">
        <v>12306</v>
      </c>
      <c r="D19" s="14">
        <f t="shared" si="17"/>
        <v>6.6959206890947504E-2</v>
      </c>
      <c r="E19" s="12">
        <f t="shared" si="18"/>
        <v>615</v>
      </c>
      <c r="F19" s="12">
        <f t="shared" si="19"/>
        <v>209</v>
      </c>
      <c r="G19" s="36"/>
      <c r="I19" s="19" t="s">
        <v>11</v>
      </c>
      <c r="J19" s="19">
        <v>135</v>
      </c>
      <c r="K19" s="19">
        <v>12202</v>
      </c>
      <c r="L19" s="14">
        <f t="shared" si="20"/>
        <v>1.1063760039337813E-2</v>
      </c>
      <c r="M19" s="19">
        <f t="shared" si="21"/>
        <v>610</v>
      </c>
      <c r="N19" s="19">
        <f t="shared" si="22"/>
        <v>-475</v>
      </c>
      <c r="O19" s="36"/>
      <c r="P19" s="19">
        <f t="shared" si="23"/>
        <v>1225</v>
      </c>
      <c r="Q19" s="19">
        <f t="shared" si="24"/>
        <v>959</v>
      </c>
      <c r="R19" s="19">
        <f t="shared" si="25"/>
        <v>-266</v>
      </c>
      <c r="S19" s="19" t="str">
        <f t="shared" si="26"/>
        <v>$0</v>
      </c>
    </row>
    <row r="20" spans="1:19" hidden="1" x14ac:dyDescent="0.3">
      <c r="A20" s="12" t="s">
        <v>12</v>
      </c>
      <c r="B20" s="12">
        <v>736</v>
      </c>
      <c r="C20" s="12">
        <v>12601</v>
      </c>
      <c r="D20" s="14">
        <f t="shared" ref="D20:D24" si="27">B20/C20</f>
        <v>5.8408062852154594E-2</v>
      </c>
      <c r="E20" s="12">
        <f t="shared" ref="E20:E24" si="28">ROUND((C20*5%),0)</f>
        <v>630</v>
      </c>
      <c r="F20" s="12">
        <f t="shared" ref="F20:F24" si="29">B20-E20</f>
        <v>106</v>
      </c>
      <c r="G20" s="36"/>
      <c r="I20" s="12" t="s">
        <v>12</v>
      </c>
      <c r="J20" s="19">
        <v>179</v>
      </c>
      <c r="K20" s="19">
        <v>12202</v>
      </c>
      <c r="L20" s="14">
        <f t="shared" ref="L20:L24" si="30">J20/K20</f>
        <v>1.466972627438125E-2</v>
      </c>
      <c r="M20" s="19">
        <f t="shared" ref="M20:M24" si="31">ROUND(K20*0.05,0)</f>
        <v>610</v>
      </c>
      <c r="N20" s="19">
        <f t="shared" ref="N20:N24" si="32">J20-M20</f>
        <v>-431</v>
      </c>
      <c r="O20" s="36"/>
      <c r="P20" s="19">
        <f t="shared" ref="P20:P24" si="33">E20+M20</f>
        <v>1240</v>
      </c>
      <c r="Q20" s="19">
        <f t="shared" ref="Q20:Q24" si="34">B20+J20</f>
        <v>915</v>
      </c>
      <c r="R20" s="19">
        <f t="shared" ref="R20:R24" si="35">Q20-P20</f>
        <v>-325</v>
      </c>
      <c r="S20" s="19" t="str">
        <f t="shared" si="26"/>
        <v>$0</v>
      </c>
    </row>
    <row r="21" spans="1:19" hidden="1" x14ac:dyDescent="0.3">
      <c r="A21" s="12" t="s">
        <v>13</v>
      </c>
      <c r="B21" s="12">
        <v>955</v>
      </c>
      <c r="C21" s="12">
        <v>12740</v>
      </c>
      <c r="D21" s="14">
        <f t="shared" si="27"/>
        <v>7.4960753532182109E-2</v>
      </c>
      <c r="E21" s="12">
        <f t="shared" si="28"/>
        <v>637</v>
      </c>
      <c r="F21" s="12">
        <f t="shared" si="29"/>
        <v>318</v>
      </c>
      <c r="G21" s="36"/>
      <c r="I21" s="12" t="s">
        <v>13</v>
      </c>
      <c r="J21" s="19">
        <v>264</v>
      </c>
      <c r="K21" s="19">
        <v>13060</v>
      </c>
      <c r="L21" s="14">
        <f t="shared" si="30"/>
        <v>2.021439509954058E-2</v>
      </c>
      <c r="M21" s="19">
        <f t="shared" si="31"/>
        <v>653</v>
      </c>
      <c r="N21" s="19">
        <f t="shared" si="32"/>
        <v>-389</v>
      </c>
      <c r="O21" s="36"/>
      <c r="P21" s="19">
        <f t="shared" si="33"/>
        <v>1290</v>
      </c>
      <c r="Q21" s="19">
        <f t="shared" si="34"/>
        <v>1219</v>
      </c>
      <c r="R21" s="19">
        <f t="shared" si="35"/>
        <v>-71</v>
      </c>
      <c r="S21" s="19" t="str">
        <f t="shared" si="26"/>
        <v>$0</v>
      </c>
    </row>
    <row r="22" spans="1:19" hidden="1" x14ac:dyDescent="0.3">
      <c r="A22" s="12" t="s">
        <v>112</v>
      </c>
      <c r="B22" s="19">
        <v>943</v>
      </c>
      <c r="C22" s="3">
        <v>12936</v>
      </c>
      <c r="D22" s="14">
        <f t="shared" si="27"/>
        <v>7.2897340754483606E-2</v>
      </c>
      <c r="E22" s="12">
        <f t="shared" si="28"/>
        <v>647</v>
      </c>
      <c r="F22" s="12">
        <f t="shared" si="29"/>
        <v>296</v>
      </c>
      <c r="I22" s="12" t="s">
        <v>112</v>
      </c>
      <c r="J22" s="19">
        <v>582</v>
      </c>
      <c r="K22" s="19">
        <v>13060</v>
      </c>
      <c r="L22" s="14">
        <f t="shared" si="30"/>
        <v>4.4563552833078099E-2</v>
      </c>
      <c r="M22" s="19">
        <f t="shared" si="31"/>
        <v>653</v>
      </c>
      <c r="N22" s="19">
        <f t="shared" si="32"/>
        <v>-71</v>
      </c>
      <c r="P22" s="19">
        <f t="shared" si="33"/>
        <v>1300</v>
      </c>
      <c r="Q22" s="19">
        <f t="shared" si="34"/>
        <v>1525</v>
      </c>
      <c r="R22" s="19">
        <f t="shared" si="35"/>
        <v>225</v>
      </c>
      <c r="S22" s="19">
        <f t="shared" si="26"/>
        <v>8775</v>
      </c>
    </row>
    <row r="23" spans="1:19" hidden="1" x14ac:dyDescent="0.3">
      <c r="A23" s="12" t="s">
        <v>14</v>
      </c>
      <c r="B23" s="19">
        <v>772</v>
      </c>
      <c r="C23" s="3">
        <v>13079</v>
      </c>
      <c r="D23" s="14">
        <f t="shared" si="27"/>
        <v>5.9025919412799145E-2</v>
      </c>
      <c r="E23" s="12">
        <f t="shared" si="28"/>
        <v>654</v>
      </c>
      <c r="F23" s="12">
        <f t="shared" si="29"/>
        <v>118</v>
      </c>
      <c r="I23" s="12" t="s">
        <v>14</v>
      </c>
      <c r="J23" s="19">
        <v>494</v>
      </c>
      <c r="K23" s="19">
        <v>13060</v>
      </c>
      <c r="L23" s="14">
        <f t="shared" si="30"/>
        <v>3.7825421133231243E-2</v>
      </c>
      <c r="M23" s="19">
        <f t="shared" si="31"/>
        <v>653</v>
      </c>
      <c r="N23" s="19">
        <f t="shared" si="32"/>
        <v>-159</v>
      </c>
      <c r="P23" s="19">
        <f t="shared" si="33"/>
        <v>1307</v>
      </c>
      <c r="Q23" s="19">
        <f t="shared" si="34"/>
        <v>1266</v>
      </c>
      <c r="R23" s="19">
        <f t="shared" si="35"/>
        <v>-41</v>
      </c>
      <c r="S23" s="19" t="str">
        <f t="shared" si="26"/>
        <v>$0</v>
      </c>
    </row>
    <row r="24" spans="1:19" hidden="1" x14ac:dyDescent="0.3">
      <c r="A24" s="12" t="s">
        <v>15</v>
      </c>
      <c r="B24" s="19">
        <v>856</v>
      </c>
      <c r="C24" s="3">
        <v>13515</v>
      </c>
      <c r="D24" s="14">
        <f t="shared" si="27"/>
        <v>6.3337032926378101E-2</v>
      </c>
      <c r="E24" s="12">
        <f t="shared" si="28"/>
        <v>676</v>
      </c>
      <c r="F24" s="12">
        <f t="shared" si="29"/>
        <v>180</v>
      </c>
      <c r="I24" s="12" t="s">
        <v>15</v>
      </c>
      <c r="J24" s="19">
        <v>493</v>
      </c>
      <c r="K24" s="19">
        <v>13060</v>
      </c>
      <c r="L24" s="14">
        <f t="shared" si="30"/>
        <v>3.7748851454823887E-2</v>
      </c>
      <c r="M24" s="19">
        <f t="shared" si="31"/>
        <v>653</v>
      </c>
      <c r="N24" s="19">
        <f t="shared" si="32"/>
        <v>-160</v>
      </c>
      <c r="P24" s="19">
        <f t="shared" si="33"/>
        <v>1329</v>
      </c>
      <c r="Q24" s="19">
        <f t="shared" si="34"/>
        <v>1349</v>
      </c>
      <c r="R24" s="19">
        <f t="shared" si="35"/>
        <v>20</v>
      </c>
      <c r="S24" s="19">
        <f t="shared" si="26"/>
        <v>780</v>
      </c>
    </row>
    <row r="25" spans="1:19" hidden="1" x14ac:dyDescent="0.3">
      <c r="A25" s="12" t="s">
        <v>16</v>
      </c>
      <c r="B25" s="19">
        <v>755</v>
      </c>
      <c r="C25" s="3">
        <v>13652</v>
      </c>
      <c r="D25" s="14">
        <f t="shared" ref="D25:D27" si="36">B25/C25</f>
        <v>5.5303252270729561E-2</v>
      </c>
      <c r="E25" s="12">
        <f t="shared" ref="E25:E27" si="37">ROUND((C25*5%),0)</f>
        <v>683</v>
      </c>
      <c r="F25" s="12">
        <f t="shared" ref="F25:F27" si="38">B25-E25</f>
        <v>72</v>
      </c>
      <c r="I25" s="12" t="s">
        <v>16</v>
      </c>
      <c r="J25" s="45">
        <v>445</v>
      </c>
      <c r="K25" s="19">
        <v>13060</v>
      </c>
      <c r="L25" s="14">
        <f>J25/K25</f>
        <v>3.4073506891271053E-2</v>
      </c>
      <c r="M25" s="19">
        <f t="shared" ref="M25:M27" si="39">ROUND(K25*0.05,0)</f>
        <v>653</v>
      </c>
      <c r="N25" s="19">
        <f>J25-M25</f>
        <v>-208</v>
      </c>
      <c r="P25" s="19">
        <f t="shared" ref="P25:P27" si="40">E25+M25</f>
        <v>1336</v>
      </c>
      <c r="Q25" s="19">
        <f>B25+J25</f>
        <v>1200</v>
      </c>
      <c r="R25" s="19">
        <f t="shared" ref="R25:R27" si="41">Q25-P25</f>
        <v>-136</v>
      </c>
      <c r="S25" s="19" t="str">
        <f t="shared" ref="S25:S27" si="42">IF(R25&lt;0,"$0",(R25*39))</f>
        <v>$0</v>
      </c>
    </row>
    <row r="26" spans="1:19" hidden="1" x14ac:dyDescent="0.3">
      <c r="A26" s="12" t="s">
        <v>17</v>
      </c>
      <c r="B26" s="19">
        <v>841</v>
      </c>
      <c r="C26" s="3">
        <v>13886</v>
      </c>
      <c r="D26" s="14">
        <f t="shared" si="36"/>
        <v>6.0564597436266743E-2</v>
      </c>
      <c r="E26" s="12">
        <f t="shared" si="37"/>
        <v>694</v>
      </c>
      <c r="F26" s="12">
        <f t="shared" si="38"/>
        <v>147</v>
      </c>
      <c r="I26" s="12" t="s">
        <v>17</v>
      </c>
      <c r="J26" s="19">
        <v>743</v>
      </c>
      <c r="K26" s="19">
        <v>13060</v>
      </c>
      <c r="L26" s="14">
        <f>J26/K26</f>
        <v>5.6891271056661565E-2</v>
      </c>
      <c r="M26" s="19">
        <f t="shared" si="39"/>
        <v>653</v>
      </c>
      <c r="N26" s="19">
        <f>J26-M26</f>
        <v>90</v>
      </c>
      <c r="P26" s="19">
        <f t="shared" si="40"/>
        <v>1347</v>
      </c>
      <c r="Q26" s="19">
        <f>B26+J26</f>
        <v>1584</v>
      </c>
      <c r="R26" s="19">
        <f t="shared" si="41"/>
        <v>237</v>
      </c>
      <c r="S26" s="19">
        <f t="shared" si="42"/>
        <v>9243</v>
      </c>
    </row>
    <row r="27" spans="1:19" hidden="1" x14ac:dyDescent="0.3">
      <c r="A27" s="12" t="s">
        <v>18</v>
      </c>
      <c r="B27" s="19">
        <v>955</v>
      </c>
      <c r="C27" s="3">
        <v>14160</v>
      </c>
      <c r="D27" s="14">
        <f t="shared" si="36"/>
        <v>6.7443502824858753E-2</v>
      </c>
      <c r="E27" s="12">
        <f t="shared" si="37"/>
        <v>708</v>
      </c>
      <c r="F27" s="12">
        <f t="shared" si="38"/>
        <v>247</v>
      </c>
      <c r="I27" s="12" t="s">
        <v>18</v>
      </c>
      <c r="J27" s="19">
        <v>506</v>
      </c>
      <c r="K27" s="19">
        <v>13060</v>
      </c>
      <c r="L27" s="14">
        <f t="shared" ref="L27" si="43">J27/K27</f>
        <v>3.8744257274119447E-2</v>
      </c>
      <c r="M27" s="19">
        <f t="shared" si="39"/>
        <v>653</v>
      </c>
      <c r="N27" s="19">
        <f t="shared" ref="N27" si="44">J27-M27</f>
        <v>-147</v>
      </c>
      <c r="P27" s="19">
        <f t="shared" si="40"/>
        <v>1361</v>
      </c>
      <c r="Q27" s="19">
        <f t="shared" ref="Q27" si="45">B27+J27</f>
        <v>1461</v>
      </c>
      <c r="R27" s="19">
        <f t="shared" si="41"/>
        <v>100</v>
      </c>
      <c r="S27" s="19">
        <f t="shared" si="42"/>
        <v>3900</v>
      </c>
    </row>
    <row r="28" spans="1:19" x14ac:dyDescent="0.3">
      <c r="A28" s="12" t="s">
        <v>8</v>
      </c>
      <c r="B28" s="19">
        <v>855</v>
      </c>
      <c r="C28" s="3">
        <v>14247</v>
      </c>
      <c r="D28" s="14">
        <f t="shared" ref="D28:D39" si="46">B28/C28</f>
        <v>6.001263423878711E-2</v>
      </c>
      <c r="E28" s="12">
        <f t="shared" ref="E28:E39" si="47">ROUND((C28*5%),0)</f>
        <v>712</v>
      </c>
      <c r="F28" s="12">
        <f t="shared" ref="F28:F39" si="48">B28-E28</f>
        <v>143</v>
      </c>
      <c r="I28" s="12" t="s">
        <v>8</v>
      </c>
      <c r="J28" s="19">
        <v>567</v>
      </c>
      <c r="K28" s="19">
        <v>14400</v>
      </c>
      <c r="L28" s="14">
        <f t="shared" ref="L28:L39" si="49">J28/K28</f>
        <v>3.9375E-2</v>
      </c>
      <c r="M28" s="19">
        <f t="shared" ref="M28:M39" si="50">ROUND(K28*0.05,0)</f>
        <v>720</v>
      </c>
      <c r="N28" s="19">
        <f t="shared" ref="N28:N39" si="51">J28-M28</f>
        <v>-153</v>
      </c>
      <c r="P28" s="19">
        <f t="shared" ref="P28:P39" si="52">E28+M28</f>
        <v>1432</v>
      </c>
      <c r="Q28" s="19">
        <f t="shared" ref="Q28:Q39" si="53">B28+J28</f>
        <v>1422</v>
      </c>
      <c r="R28" s="19">
        <f t="shared" ref="R28:R39" si="54">Q28-P28</f>
        <v>-10</v>
      </c>
      <c r="S28" s="19" t="str">
        <f t="shared" ref="S28:S39" si="55">IF(R28&lt;0,"$0",(R28*39))</f>
        <v>$0</v>
      </c>
    </row>
    <row r="29" spans="1:19" x14ac:dyDescent="0.3">
      <c r="A29" s="12" t="s">
        <v>9</v>
      </c>
      <c r="B29" s="19">
        <v>883</v>
      </c>
      <c r="C29" s="3">
        <v>14579</v>
      </c>
      <c r="D29" s="14">
        <f t="shared" si="46"/>
        <v>6.0566568351738799E-2</v>
      </c>
      <c r="E29" s="12">
        <f t="shared" si="47"/>
        <v>729</v>
      </c>
      <c r="F29" s="12">
        <f t="shared" si="48"/>
        <v>154</v>
      </c>
      <c r="I29" s="12" t="s">
        <v>9</v>
      </c>
      <c r="J29" s="19">
        <v>659</v>
      </c>
      <c r="K29" s="19">
        <v>14400</v>
      </c>
      <c r="L29" s="14">
        <f t="shared" si="49"/>
        <v>4.5763888888888889E-2</v>
      </c>
      <c r="M29" s="19">
        <f t="shared" si="50"/>
        <v>720</v>
      </c>
      <c r="N29" s="19">
        <f t="shared" si="51"/>
        <v>-61</v>
      </c>
      <c r="P29" s="19">
        <f t="shared" si="52"/>
        <v>1449</v>
      </c>
      <c r="Q29" s="19">
        <f t="shared" si="53"/>
        <v>1542</v>
      </c>
      <c r="R29" s="19">
        <v>94</v>
      </c>
      <c r="S29" s="19">
        <f t="shared" si="55"/>
        <v>3666</v>
      </c>
    </row>
    <row r="30" spans="1:19" x14ac:dyDescent="0.3">
      <c r="A30" s="12" t="s">
        <v>10</v>
      </c>
      <c r="B30" s="19">
        <v>872</v>
      </c>
      <c r="C30" s="3">
        <v>14831</v>
      </c>
      <c r="D30" s="14">
        <f t="shared" si="46"/>
        <v>5.8795765626053535E-2</v>
      </c>
      <c r="E30" s="12">
        <f t="shared" si="47"/>
        <v>742</v>
      </c>
      <c r="F30" s="12">
        <f t="shared" si="48"/>
        <v>130</v>
      </c>
      <c r="I30" s="12" t="s">
        <v>10</v>
      </c>
      <c r="J30" s="19">
        <v>585</v>
      </c>
      <c r="K30" s="19">
        <v>14400</v>
      </c>
      <c r="L30" s="14">
        <f t="shared" si="49"/>
        <v>4.0625000000000001E-2</v>
      </c>
      <c r="M30" s="19">
        <f t="shared" si="50"/>
        <v>720</v>
      </c>
      <c r="N30" s="19">
        <f t="shared" si="51"/>
        <v>-135</v>
      </c>
      <c r="P30" s="19">
        <f t="shared" si="52"/>
        <v>1462</v>
      </c>
      <c r="Q30" s="19">
        <f t="shared" si="53"/>
        <v>1457</v>
      </c>
      <c r="R30" s="19">
        <f t="shared" si="54"/>
        <v>-5</v>
      </c>
      <c r="S30" s="19" t="str">
        <f t="shared" si="55"/>
        <v>$0</v>
      </c>
    </row>
    <row r="31" spans="1:19" x14ac:dyDescent="0.3">
      <c r="A31" s="12" t="s">
        <v>11</v>
      </c>
      <c r="B31" s="19">
        <v>974</v>
      </c>
      <c r="C31" s="3">
        <v>15033</v>
      </c>
      <c r="D31" s="14">
        <f t="shared" si="46"/>
        <v>6.4790793587440956E-2</v>
      </c>
      <c r="E31" s="12">
        <f t="shared" si="47"/>
        <v>752</v>
      </c>
      <c r="F31" s="12">
        <f t="shared" si="48"/>
        <v>222</v>
      </c>
      <c r="I31" s="12" t="s">
        <v>11</v>
      </c>
      <c r="J31" s="19">
        <v>614</v>
      </c>
      <c r="K31" s="19">
        <v>14400</v>
      </c>
      <c r="L31" s="14">
        <f t="shared" si="49"/>
        <v>4.2638888888888886E-2</v>
      </c>
      <c r="M31" s="19">
        <f t="shared" si="50"/>
        <v>720</v>
      </c>
      <c r="N31" s="19">
        <f t="shared" si="51"/>
        <v>-106</v>
      </c>
      <c r="P31" s="19">
        <v>1471</v>
      </c>
      <c r="Q31" s="19">
        <f t="shared" si="53"/>
        <v>1588</v>
      </c>
      <c r="R31" s="19">
        <v>117</v>
      </c>
      <c r="S31" s="19">
        <f t="shared" si="55"/>
        <v>4563</v>
      </c>
    </row>
    <row r="32" spans="1:19" x14ac:dyDescent="0.3">
      <c r="A32" s="12" t="s">
        <v>12</v>
      </c>
      <c r="B32" s="19">
        <v>1013</v>
      </c>
      <c r="C32" s="3">
        <v>15194</v>
      </c>
      <c r="D32" s="14">
        <f t="shared" si="46"/>
        <v>6.6671054363564561E-2</v>
      </c>
      <c r="E32" s="12">
        <f t="shared" si="47"/>
        <v>760</v>
      </c>
      <c r="F32" s="12">
        <f t="shared" si="48"/>
        <v>253</v>
      </c>
      <c r="I32" s="12" t="s">
        <v>12</v>
      </c>
      <c r="J32" s="19">
        <v>784</v>
      </c>
      <c r="K32" s="19">
        <v>14400</v>
      </c>
      <c r="L32" s="14">
        <f t="shared" si="49"/>
        <v>5.4444444444444441E-2</v>
      </c>
      <c r="M32" s="19">
        <f t="shared" si="50"/>
        <v>720</v>
      </c>
      <c r="N32" s="19">
        <f t="shared" si="51"/>
        <v>64</v>
      </c>
      <c r="P32" s="19">
        <f t="shared" si="52"/>
        <v>1480</v>
      </c>
      <c r="Q32" s="19">
        <f t="shared" si="53"/>
        <v>1797</v>
      </c>
      <c r="R32" s="19">
        <f t="shared" si="54"/>
        <v>317</v>
      </c>
      <c r="S32" s="19">
        <f t="shared" si="55"/>
        <v>12363</v>
      </c>
    </row>
    <row r="33" spans="1:19" x14ac:dyDescent="0.3">
      <c r="A33" s="12" t="s">
        <v>28</v>
      </c>
      <c r="B33" s="19">
        <v>1001</v>
      </c>
      <c r="C33" s="3">
        <v>15471</v>
      </c>
      <c r="D33" s="14">
        <f t="shared" si="46"/>
        <v>6.4701699954754055E-2</v>
      </c>
      <c r="E33" s="12">
        <f t="shared" si="47"/>
        <v>774</v>
      </c>
      <c r="F33" s="12">
        <f t="shared" si="48"/>
        <v>227</v>
      </c>
      <c r="I33" s="12" t="s">
        <v>28</v>
      </c>
      <c r="J33" s="19">
        <v>831</v>
      </c>
      <c r="K33" s="19">
        <v>14400</v>
      </c>
      <c r="L33" s="14">
        <f t="shared" si="49"/>
        <v>5.7708333333333334E-2</v>
      </c>
      <c r="M33" s="19">
        <f t="shared" si="50"/>
        <v>720</v>
      </c>
      <c r="N33" s="19">
        <f t="shared" si="51"/>
        <v>111</v>
      </c>
      <c r="P33" s="19">
        <f t="shared" si="52"/>
        <v>1494</v>
      </c>
      <c r="Q33" s="19">
        <f t="shared" si="53"/>
        <v>1832</v>
      </c>
      <c r="R33" s="19">
        <v>339</v>
      </c>
      <c r="S33" s="19">
        <f t="shared" si="55"/>
        <v>13221</v>
      </c>
    </row>
    <row r="34" spans="1:19" x14ac:dyDescent="0.3">
      <c r="A34" s="12" t="s">
        <v>117</v>
      </c>
      <c r="B34" s="19">
        <v>1263</v>
      </c>
      <c r="C34" s="3">
        <v>15926</v>
      </c>
      <c r="D34" s="14">
        <f t="shared" si="46"/>
        <v>7.9304282305663693E-2</v>
      </c>
      <c r="E34" s="12">
        <f t="shared" si="47"/>
        <v>796</v>
      </c>
      <c r="F34" s="12">
        <f t="shared" si="48"/>
        <v>467</v>
      </c>
      <c r="I34" s="12" t="s">
        <v>117</v>
      </c>
      <c r="J34" s="19">
        <v>849</v>
      </c>
      <c r="K34" s="19">
        <v>14400</v>
      </c>
      <c r="L34" s="14">
        <f t="shared" si="49"/>
        <v>5.8958333333333335E-2</v>
      </c>
      <c r="M34" s="19">
        <f t="shared" si="50"/>
        <v>720</v>
      </c>
      <c r="N34" s="19">
        <f t="shared" si="51"/>
        <v>129</v>
      </c>
      <c r="P34" s="19">
        <f t="shared" si="52"/>
        <v>1516</v>
      </c>
      <c r="Q34" s="19">
        <f t="shared" si="53"/>
        <v>2112</v>
      </c>
      <c r="R34" s="19">
        <f t="shared" si="54"/>
        <v>596</v>
      </c>
      <c r="S34" s="19">
        <f t="shared" si="55"/>
        <v>23244</v>
      </c>
    </row>
    <row r="35" spans="1:19" x14ac:dyDescent="0.3">
      <c r="A35" s="12" t="s">
        <v>14</v>
      </c>
      <c r="B35" s="19">
        <v>1274</v>
      </c>
      <c r="C35" s="3">
        <v>16151</v>
      </c>
      <c r="D35" s="14">
        <f t="shared" si="46"/>
        <v>7.888056467091821E-2</v>
      </c>
      <c r="E35" s="12">
        <f t="shared" si="47"/>
        <v>808</v>
      </c>
      <c r="F35" s="12">
        <f t="shared" si="48"/>
        <v>466</v>
      </c>
      <c r="I35" s="12" t="s">
        <v>14</v>
      </c>
      <c r="J35" s="19">
        <v>707</v>
      </c>
      <c r="K35" s="19">
        <v>14400</v>
      </c>
      <c r="L35" s="14">
        <f t="shared" si="49"/>
        <v>4.9097222222222223E-2</v>
      </c>
      <c r="M35" s="19">
        <f t="shared" si="50"/>
        <v>720</v>
      </c>
      <c r="N35" s="19">
        <f t="shared" si="51"/>
        <v>-13</v>
      </c>
      <c r="P35" s="19">
        <f t="shared" si="52"/>
        <v>1528</v>
      </c>
      <c r="Q35" s="19">
        <f t="shared" si="53"/>
        <v>1981</v>
      </c>
      <c r="R35" s="19">
        <v>454</v>
      </c>
      <c r="S35" s="19">
        <f t="shared" si="55"/>
        <v>17706</v>
      </c>
    </row>
    <row r="36" spans="1:19" x14ac:dyDescent="0.3">
      <c r="A36" s="12" t="s">
        <v>15</v>
      </c>
      <c r="B36" s="19">
        <v>1139</v>
      </c>
      <c r="C36" s="3">
        <v>16354</v>
      </c>
      <c r="D36" s="14">
        <f t="shared" si="46"/>
        <v>6.964656964656965E-2</v>
      </c>
      <c r="E36" s="12">
        <f t="shared" si="47"/>
        <v>818</v>
      </c>
      <c r="F36" s="12">
        <f t="shared" si="48"/>
        <v>321</v>
      </c>
      <c r="I36" s="12" t="s">
        <v>15</v>
      </c>
      <c r="J36" s="19">
        <v>829</v>
      </c>
      <c r="K36" s="19">
        <v>14400</v>
      </c>
      <c r="L36" s="14">
        <f t="shared" si="49"/>
        <v>5.7569444444444444E-2</v>
      </c>
      <c r="M36" s="19">
        <f t="shared" si="50"/>
        <v>720</v>
      </c>
      <c r="N36" s="19">
        <f t="shared" si="51"/>
        <v>109</v>
      </c>
      <c r="P36" s="19">
        <f t="shared" si="52"/>
        <v>1538</v>
      </c>
      <c r="Q36" s="19">
        <f t="shared" si="53"/>
        <v>1968</v>
      </c>
      <c r="R36" s="19">
        <f t="shared" si="54"/>
        <v>430</v>
      </c>
      <c r="S36" s="19">
        <f t="shared" si="55"/>
        <v>16770</v>
      </c>
    </row>
    <row r="37" spans="1:19" x14ac:dyDescent="0.3">
      <c r="A37" s="12" t="s">
        <v>16</v>
      </c>
      <c r="B37" s="19">
        <v>855</v>
      </c>
      <c r="C37" s="3">
        <v>16354</v>
      </c>
      <c r="D37" s="14">
        <f t="shared" si="46"/>
        <v>5.2280787574905223E-2</v>
      </c>
      <c r="E37" s="12">
        <f t="shared" si="47"/>
        <v>818</v>
      </c>
      <c r="F37" s="12">
        <f t="shared" si="48"/>
        <v>37</v>
      </c>
      <c r="I37" s="12" t="s">
        <v>16</v>
      </c>
      <c r="J37" s="19">
        <v>226</v>
      </c>
      <c r="K37" s="19">
        <v>14400</v>
      </c>
      <c r="L37" s="14">
        <f t="shared" si="49"/>
        <v>1.5694444444444445E-2</v>
      </c>
      <c r="M37" s="19">
        <f t="shared" si="50"/>
        <v>720</v>
      </c>
      <c r="N37" s="19">
        <f t="shared" si="51"/>
        <v>-494</v>
      </c>
      <c r="P37" s="19">
        <f t="shared" si="52"/>
        <v>1538</v>
      </c>
      <c r="Q37" s="19">
        <f t="shared" si="53"/>
        <v>1081</v>
      </c>
      <c r="R37" s="19">
        <f t="shared" si="54"/>
        <v>-457</v>
      </c>
      <c r="S37" s="19" t="str">
        <f t="shared" si="55"/>
        <v>$0</v>
      </c>
    </row>
    <row r="38" spans="1:19" hidden="1" x14ac:dyDescent="0.3">
      <c r="A38" s="12" t="s">
        <v>17</v>
      </c>
      <c r="B38" s="19"/>
      <c r="C38" s="3"/>
      <c r="D38" s="14" t="e">
        <f t="shared" si="46"/>
        <v>#DIV/0!</v>
      </c>
      <c r="E38" s="12">
        <f t="shared" si="47"/>
        <v>0</v>
      </c>
      <c r="F38" s="12">
        <f t="shared" si="48"/>
        <v>0</v>
      </c>
      <c r="I38" s="12" t="s">
        <v>17</v>
      </c>
      <c r="J38" s="19"/>
      <c r="K38" s="19"/>
      <c r="L38" s="14" t="e">
        <f t="shared" si="49"/>
        <v>#DIV/0!</v>
      </c>
      <c r="M38" s="19">
        <f t="shared" si="50"/>
        <v>0</v>
      </c>
      <c r="N38" s="19">
        <f t="shared" si="51"/>
        <v>0</v>
      </c>
      <c r="P38" s="19">
        <f t="shared" si="52"/>
        <v>0</v>
      </c>
      <c r="Q38" s="19">
        <f t="shared" si="53"/>
        <v>0</v>
      </c>
      <c r="R38" s="19">
        <f t="shared" si="54"/>
        <v>0</v>
      </c>
      <c r="S38" s="19">
        <f t="shared" si="55"/>
        <v>0</v>
      </c>
    </row>
    <row r="39" spans="1:19" hidden="1" x14ac:dyDescent="0.3">
      <c r="A39" s="12" t="s">
        <v>18</v>
      </c>
      <c r="B39" s="19"/>
      <c r="C39" s="3"/>
      <c r="D39" s="14" t="e">
        <f t="shared" si="46"/>
        <v>#DIV/0!</v>
      </c>
      <c r="E39" s="12">
        <f t="shared" si="47"/>
        <v>0</v>
      </c>
      <c r="F39" s="12">
        <f t="shared" si="48"/>
        <v>0</v>
      </c>
      <c r="I39" s="12" t="s">
        <v>18</v>
      </c>
      <c r="J39" s="19"/>
      <c r="K39" s="19"/>
      <c r="L39" s="14" t="e">
        <f t="shared" si="49"/>
        <v>#DIV/0!</v>
      </c>
      <c r="M39" s="19">
        <f t="shared" si="50"/>
        <v>0</v>
      </c>
      <c r="N39" s="19">
        <f t="shared" si="51"/>
        <v>0</v>
      </c>
      <c r="P39" s="19">
        <f t="shared" si="52"/>
        <v>0</v>
      </c>
      <c r="Q39" s="19">
        <f t="shared" si="53"/>
        <v>0</v>
      </c>
      <c r="R39" s="19">
        <f t="shared" si="54"/>
        <v>0</v>
      </c>
      <c r="S39" s="19">
        <f t="shared" si="55"/>
        <v>0</v>
      </c>
    </row>
    <row r="40" spans="1:19" hidden="1" x14ac:dyDescent="0.3">
      <c r="A40" s="48"/>
      <c r="B40" s="11"/>
      <c r="C40" s="39"/>
      <c r="D40" s="49"/>
      <c r="E40" s="48"/>
      <c r="F40" s="48"/>
      <c r="I40" s="48"/>
      <c r="J40" s="11"/>
      <c r="K40" s="11"/>
      <c r="L40" s="49"/>
      <c r="M40" s="11"/>
      <c r="N40" s="11"/>
      <c r="P40" s="11"/>
      <c r="Q40" s="11"/>
      <c r="R40" s="11"/>
    </row>
    <row r="41" spans="1:19" hidden="1" x14ac:dyDescent="0.3">
      <c r="A41" s="48"/>
      <c r="B41" s="11"/>
      <c r="C41" s="39"/>
      <c r="D41" s="49"/>
      <c r="E41" s="48"/>
      <c r="F41" s="48"/>
      <c r="I41" s="48"/>
      <c r="J41" s="11"/>
      <c r="K41" s="11"/>
      <c r="L41" s="49"/>
      <c r="M41" s="11"/>
      <c r="N41" s="11"/>
      <c r="P41" s="11"/>
      <c r="Q41" s="11"/>
      <c r="R41" s="11"/>
    </row>
    <row r="42" spans="1:19" x14ac:dyDescent="0.3">
      <c r="A42" s="48"/>
      <c r="B42" s="11"/>
      <c r="C42" s="39"/>
      <c r="D42" s="49"/>
      <c r="E42" s="48"/>
      <c r="F42" s="48"/>
      <c r="I42" s="48"/>
      <c r="J42" s="11"/>
      <c r="K42" s="11"/>
      <c r="L42" s="49"/>
      <c r="M42" s="11"/>
      <c r="N42" s="11"/>
      <c r="P42" s="11"/>
      <c r="Q42" s="11"/>
      <c r="R42" s="11"/>
    </row>
    <row r="44" spans="1:19" ht="14.4" customHeight="1" x14ac:dyDescent="0.3">
      <c r="A44" s="66" t="s">
        <v>19</v>
      </c>
      <c r="B44" s="66"/>
      <c r="C44" s="66"/>
      <c r="D44" s="66"/>
      <c r="E44" s="66"/>
      <c r="F44" s="66"/>
      <c r="G44" s="66"/>
      <c r="I44" s="67" t="s">
        <v>20</v>
      </c>
      <c r="J44" s="68"/>
      <c r="K44" s="68"/>
      <c r="L44" s="68"/>
      <c r="M44" s="69"/>
    </row>
    <row r="45" spans="1:19" ht="25.7" x14ac:dyDescent="0.3">
      <c r="A45" s="17" t="s">
        <v>3</v>
      </c>
      <c r="B45" s="17" t="s">
        <v>21</v>
      </c>
      <c r="C45" s="17" t="s">
        <v>5</v>
      </c>
      <c r="D45" s="18" t="s">
        <v>105</v>
      </c>
      <c r="E45" s="17" t="s">
        <v>22</v>
      </c>
      <c r="F45" s="17" t="s">
        <v>23</v>
      </c>
      <c r="G45" s="18" t="s">
        <v>24</v>
      </c>
      <c r="I45" s="21" t="s">
        <v>3</v>
      </c>
      <c r="J45" s="21" t="s">
        <v>25</v>
      </c>
      <c r="K45" s="21" t="s">
        <v>26</v>
      </c>
      <c r="L45" s="21" t="s">
        <v>19</v>
      </c>
      <c r="M45" s="21" t="s">
        <v>27</v>
      </c>
    </row>
    <row r="46" spans="1:19" hidden="1" x14ac:dyDescent="0.3">
      <c r="A46" s="12" t="s">
        <v>8</v>
      </c>
      <c r="B46" s="12">
        <v>605</v>
      </c>
      <c r="C46" s="13">
        <v>10081</v>
      </c>
      <c r="D46" s="14">
        <f t="shared" ref="D46:D58" si="56">B46/C46</f>
        <v>6.001388751115961E-2</v>
      </c>
      <c r="E46" s="12">
        <f t="shared" ref="E46:E51" si="57">ROUND((C46*1%),0)</f>
        <v>101</v>
      </c>
      <c r="F46" s="24">
        <f t="shared" ref="F46:F48" si="58">B46-E46</f>
        <v>504</v>
      </c>
      <c r="G46" s="23">
        <f t="shared" ref="G46:G58" si="59">IF(F46&lt;0,"$0",(F46*89))</f>
        <v>44856</v>
      </c>
      <c r="I46" s="19" t="s">
        <v>8</v>
      </c>
      <c r="J46" s="28">
        <f t="shared" ref="J46:J51" si="60">G3</f>
        <v>0</v>
      </c>
      <c r="K46" s="28">
        <f t="shared" ref="K46:K51" si="61">O3</f>
        <v>0</v>
      </c>
      <c r="L46" s="28">
        <f t="shared" ref="L46:L58" si="62">G46</f>
        <v>44856</v>
      </c>
      <c r="M46" s="28">
        <f t="shared" ref="M46:M58" si="63">SUM(J46:L46)</f>
        <v>44856</v>
      </c>
    </row>
    <row r="47" spans="1:19" hidden="1" x14ac:dyDescent="0.3">
      <c r="A47" s="12" t="s">
        <v>9</v>
      </c>
      <c r="B47" s="12">
        <v>470</v>
      </c>
      <c r="C47" s="13">
        <v>10081</v>
      </c>
      <c r="D47" s="14">
        <f t="shared" si="56"/>
        <v>4.6622358892966967E-2</v>
      </c>
      <c r="E47" s="12">
        <f t="shared" si="57"/>
        <v>101</v>
      </c>
      <c r="F47" s="24">
        <f t="shared" si="58"/>
        <v>369</v>
      </c>
      <c r="G47" s="23">
        <f t="shared" si="59"/>
        <v>32841</v>
      </c>
      <c r="I47" s="19" t="s">
        <v>9</v>
      </c>
      <c r="J47" s="28">
        <f t="shared" si="60"/>
        <v>0</v>
      </c>
      <c r="K47" s="28">
        <f t="shared" si="61"/>
        <v>0</v>
      </c>
      <c r="L47" s="28">
        <f t="shared" si="62"/>
        <v>32841</v>
      </c>
      <c r="M47" s="28">
        <f t="shared" si="63"/>
        <v>32841</v>
      </c>
    </row>
    <row r="48" spans="1:19" hidden="1" x14ac:dyDescent="0.3">
      <c r="A48" s="12" t="s">
        <v>10</v>
      </c>
      <c r="B48" s="12">
        <v>541</v>
      </c>
      <c r="C48" s="13">
        <v>10174</v>
      </c>
      <c r="D48" s="14">
        <f t="shared" si="56"/>
        <v>5.3174759190092395E-2</v>
      </c>
      <c r="E48" s="12">
        <f t="shared" si="57"/>
        <v>102</v>
      </c>
      <c r="F48" s="24">
        <f t="shared" si="58"/>
        <v>439</v>
      </c>
      <c r="G48" s="23">
        <f t="shared" si="59"/>
        <v>39071</v>
      </c>
      <c r="I48" s="19" t="s">
        <v>10</v>
      </c>
      <c r="J48" s="28">
        <f t="shared" si="60"/>
        <v>0</v>
      </c>
      <c r="K48" s="28">
        <f t="shared" si="61"/>
        <v>0</v>
      </c>
      <c r="L48" s="28">
        <f t="shared" si="62"/>
        <v>39071</v>
      </c>
      <c r="M48" s="28">
        <f t="shared" si="63"/>
        <v>39071</v>
      </c>
    </row>
    <row r="49" spans="1:13" hidden="1" x14ac:dyDescent="0.3">
      <c r="A49" s="12" t="s">
        <v>11</v>
      </c>
      <c r="B49" s="12">
        <v>535</v>
      </c>
      <c r="C49" s="13">
        <v>10142</v>
      </c>
      <c r="D49" s="14">
        <f t="shared" si="56"/>
        <v>5.2750936698875962E-2</v>
      </c>
      <c r="E49" s="12">
        <f t="shared" si="57"/>
        <v>101</v>
      </c>
      <c r="F49" s="24">
        <f t="shared" ref="F49:F52" si="64">B49-E49</f>
        <v>434</v>
      </c>
      <c r="G49" s="23">
        <f t="shared" si="59"/>
        <v>38626</v>
      </c>
      <c r="I49" s="19" t="s">
        <v>11</v>
      </c>
      <c r="J49" s="28">
        <f t="shared" si="60"/>
        <v>0</v>
      </c>
      <c r="K49" s="28">
        <f t="shared" si="61"/>
        <v>0</v>
      </c>
      <c r="L49" s="28">
        <f t="shared" si="62"/>
        <v>38626</v>
      </c>
      <c r="M49" s="28">
        <f t="shared" si="63"/>
        <v>38626</v>
      </c>
    </row>
    <row r="50" spans="1:13" hidden="1" x14ac:dyDescent="0.3">
      <c r="A50" s="12" t="s">
        <v>12</v>
      </c>
      <c r="B50" s="12">
        <v>510</v>
      </c>
      <c r="C50" s="13">
        <v>10428</v>
      </c>
      <c r="D50" s="14">
        <f t="shared" si="56"/>
        <v>4.8906789413118525E-2</v>
      </c>
      <c r="E50" s="12">
        <f t="shared" si="57"/>
        <v>104</v>
      </c>
      <c r="F50" s="24">
        <f t="shared" si="64"/>
        <v>406</v>
      </c>
      <c r="G50" s="23">
        <f t="shared" si="59"/>
        <v>36134</v>
      </c>
      <c r="I50" s="19" t="s">
        <v>12</v>
      </c>
      <c r="J50" s="28">
        <f t="shared" si="60"/>
        <v>0</v>
      </c>
      <c r="K50" s="28">
        <f t="shared" si="61"/>
        <v>0</v>
      </c>
      <c r="L50" s="28">
        <f t="shared" si="62"/>
        <v>36134</v>
      </c>
      <c r="M50" s="28">
        <f t="shared" si="63"/>
        <v>36134</v>
      </c>
    </row>
    <row r="51" spans="1:13" hidden="1" x14ac:dyDescent="0.3">
      <c r="A51" s="12" t="s">
        <v>13</v>
      </c>
      <c r="B51" s="12">
        <v>556</v>
      </c>
      <c r="C51" s="13">
        <v>10575</v>
      </c>
      <c r="D51" s="14">
        <f t="shared" si="56"/>
        <v>5.2576832151300233E-2</v>
      </c>
      <c r="E51" s="12">
        <f t="shared" si="57"/>
        <v>106</v>
      </c>
      <c r="F51" s="24">
        <f t="shared" si="64"/>
        <v>450</v>
      </c>
      <c r="G51" s="23">
        <f t="shared" si="59"/>
        <v>40050</v>
      </c>
      <c r="I51" s="19" t="s">
        <v>28</v>
      </c>
      <c r="J51" s="28">
        <f t="shared" si="60"/>
        <v>0</v>
      </c>
      <c r="K51" s="28">
        <f t="shared" si="61"/>
        <v>0</v>
      </c>
      <c r="L51" s="28">
        <f t="shared" si="62"/>
        <v>40050</v>
      </c>
      <c r="M51" s="28">
        <f t="shared" si="63"/>
        <v>40050</v>
      </c>
    </row>
    <row r="52" spans="1:13" hidden="1" x14ac:dyDescent="0.3">
      <c r="A52" s="19" t="s">
        <v>94</v>
      </c>
      <c r="B52" s="12">
        <v>329</v>
      </c>
      <c r="C52" s="13">
        <v>10773</v>
      </c>
      <c r="D52" s="14">
        <f t="shared" si="56"/>
        <v>3.0539311241065625E-2</v>
      </c>
      <c r="E52" s="12">
        <f>ROUND((C52*1%),0)</f>
        <v>108</v>
      </c>
      <c r="F52" s="24">
        <f t="shared" si="64"/>
        <v>221</v>
      </c>
      <c r="G52" s="23">
        <f t="shared" si="59"/>
        <v>19669</v>
      </c>
      <c r="I52" s="19" t="s">
        <v>94</v>
      </c>
      <c r="J52" s="28">
        <f>G10</f>
        <v>0</v>
      </c>
      <c r="K52" s="28">
        <f>O10</f>
        <v>0</v>
      </c>
      <c r="L52" s="28">
        <f>G52</f>
        <v>19669</v>
      </c>
      <c r="M52" s="28">
        <f t="shared" si="63"/>
        <v>19669</v>
      </c>
    </row>
    <row r="53" spans="1:13" hidden="1" x14ac:dyDescent="0.3">
      <c r="A53" s="19" t="s">
        <v>95</v>
      </c>
      <c r="B53" s="12">
        <v>326</v>
      </c>
      <c r="C53" s="13">
        <v>10773</v>
      </c>
      <c r="D53" s="14">
        <f t="shared" ref="D53" si="65">B53/C53</f>
        <v>3.0260837278381136E-2</v>
      </c>
      <c r="E53" s="12">
        <f>ROUND((C53*5%),0)</f>
        <v>539</v>
      </c>
      <c r="F53" s="24">
        <f>B53-E53</f>
        <v>-213</v>
      </c>
      <c r="G53" s="23" t="str">
        <f t="shared" ref="G53" si="66">IF(F53&lt;0,"$0",(F53*89))</f>
        <v>$0</v>
      </c>
      <c r="I53" s="19" t="s">
        <v>95</v>
      </c>
      <c r="J53" s="28">
        <f>G10</f>
        <v>0</v>
      </c>
      <c r="K53" s="28">
        <f>O11</f>
        <v>0</v>
      </c>
      <c r="L53" s="28" t="str">
        <f t="shared" ref="L53" si="67">G53</f>
        <v>$0</v>
      </c>
      <c r="M53" s="28">
        <f t="shared" ref="M53" si="68">SUM(J53:L53)</f>
        <v>0</v>
      </c>
    </row>
    <row r="54" spans="1:13" hidden="1" x14ac:dyDescent="0.3">
      <c r="A54" s="12" t="s">
        <v>14</v>
      </c>
      <c r="B54" s="12">
        <v>554</v>
      </c>
      <c r="C54" s="13">
        <v>11086</v>
      </c>
      <c r="D54" s="14">
        <f t="shared" si="56"/>
        <v>4.997293884178243E-2</v>
      </c>
      <c r="E54" s="12">
        <f t="shared" ref="E54:E58" si="69">ROUND((C54*5%),0)</f>
        <v>554</v>
      </c>
      <c r="F54" s="12">
        <f t="shared" ref="F54:F58" si="70">B54-E54</f>
        <v>0</v>
      </c>
      <c r="G54" s="23">
        <f t="shared" si="59"/>
        <v>0</v>
      </c>
      <c r="I54" s="19" t="s">
        <v>14</v>
      </c>
      <c r="J54" s="29" t="str">
        <f t="shared" ref="J54:J70" si="71">S11</f>
        <v>$0</v>
      </c>
      <c r="K54" s="28">
        <f t="shared" ref="K54:K70" si="72">O11</f>
        <v>0</v>
      </c>
      <c r="L54" s="28">
        <f t="shared" si="62"/>
        <v>0</v>
      </c>
      <c r="M54" s="28">
        <f t="shared" si="63"/>
        <v>0</v>
      </c>
    </row>
    <row r="55" spans="1:13" hidden="1" x14ac:dyDescent="0.3">
      <c r="A55" s="12" t="s">
        <v>15</v>
      </c>
      <c r="B55" s="12">
        <v>523</v>
      </c>
      <c r="C55" s="13">
        <v>11179</v>
      </c>
      <c r="D55" s="14">
        <f t="shared" si="56"/>
        <v>4.6784148850523302E-2</v>
      </c>
      <c r="E55" s="12">
        <f t="shared" si="69"/>
        <v>559</v>
      </c>
      <c r="F55" s="12">
        <f t="shared" si="70"/>
        <v>-36</v>
      </c>
      <c r="G55" s="23" t="str">
        <f t="shared" si="59"/>
        <v>$0</v>
      </c>
      <c r="I55" s="19" t="s">
        <v>15</v>
      </c>
      <c r="J55" s="29" t="str">
        <f t="shared" si="71"/>
        <v>$0</v>
      </c>
      <c r="K55" s="28">
        <f t="shared" si="72"/>
        <v>0</v>
      </c>
      <c r="L55" s="28" t="str">
        <f t="shared" si="62"/>
        <v>$0</v>
      </c>
      <c r="M55" s="28">
        <f t="shared" si="63"/>
        <v>0</v>
      </c>
    </row>
    <row r="56" spans="1:13" hidden="1" x14ac:dyDescent="0.3">
      <c r="A56" s="12" t="s">
        <v>16</v>
      </c>
      <c r="B56" s="12">
        <v>551</v>
      </c>
      <c r="C56" s="12">
        <v>11304</v>
      </c>
      <c r="D56" s="14">
        <f t="shared" si="56"/>
        <v>4.8743807501769286E-2</v>
      </c>
      <c r="E56" s="12">
        <f t="shared" si="69"/>
        <v>565</v>
      </c>
      <c r="F56" s="12">
        <f t="shared" si="70"/>
        <v>-14</v>
      </c>
      <c r="G56" s="23" t="str">
        <f t="shared" si="59"/>
        <v>$0</v>
      </c>
      <c r="I56" s="19" t="s">
        <v>16</v>
      </c>
      <c r="J56" s="29" t="str">
        <f t="shared" si="71"/>
        <v>$0</v>
      </c>
      <c r="K56" s="28">
        <f t="shared" si="72"/>
        <v>0</v>
      </c>
      <c r="L56" s="28" t="str">
        <f t="shared" si="62"/>
        <v>$0</v>
      </c>
      <c r="M56" s="28">
        <f t="shared" si="63"/>
        <v>0</v>
      </c>
    </row>
    <row r="57" spans="1:13" hidden="1" x14ac:dyDescent="0.3">
      <c r="A57" s="12" t="s">
        <v>17</v>
      </c>
      <c r="B57" s="12">
        <v>499</v>
      </c>
      <c r="C57" s="12">
        <v>11343</v>
      </c>
      <c r="D57" s="14">
        <f t="shared" si="56"/>
        <v>4.3991889270915983E-2</v>
      </c>
      <c r="E57" s="12">
        <f t="shared" si="69"/>
        <v>567</v>
      </c>
      <c r="F57" s="12">
        <f t="shared" si="70"/>
        <v>-68</v>
      </c>
      <c r="G57" s="23" t="str">
        <f t="shared" si="59"/>
        <v>$0</v>
      </c>
      <c r="I57" s="19" t="s">
        <v>17</v>
      </c>
      <c r="J57" s="29" t="str">
        <f t="shared" si="71"/>
        <v>$0</v>
      </c>
      <c r="K57" s="28">
        <f t="shared" si="72"/>
        <v>0</v>
      </c>
      <c r="L57" s="28" t="str">
        <f t="shared" si="62"/>
        <v>$0</v>
      </c>
      <c r="M57" s="28">
        <f t="shared" si="63"/>
        <v>0</v>
      </c>
    </row>
    <row r="58" spans="1:13" hidden="1" x14ac:dyDescent="0.3">
      <c r="A58" s="12" t="s">
        <v>18</v>
      </c>
      <c r="B58" s="12">
        <v>612</v>
      </c>
      <c r="C58" s="12">
        <v>11447</v>
      </c>
      <c r="D58" s="14">
        <f t="shared" si="56"/>
        <v>5.3463789639206782E-2</v>
      </c>
      <c r="E58" s="12">
        <f t="shared" si="69"/>
        <v>572</v>
      </c>
      <c r="F58" s="12">
        <f t="shared" si="70"/>
        <v>40</v>
      </c>
      <c r="G58" s="23">
        <f t="shared" si="59"/>
        <v>3560</v>
      </c>
      <c r="I58" s="19" t="s">
        <v>18</v>
      </c>
      <c r="J58" s="29" t="str">
        <f t="shared" si="71"/>
        <v>$0</v>
      </c>
      <c r="K58" s="28">
        <f t="shared" si="72"/>
        <v>0</v>
      </c>
      <c r="L58" s="28">
        <f t="shared" si="62"/>
        <v>3560</v>
      </c>
      <c r="M58" s="28">
        <f t="shared" si="63"/>
        <v>3560</v>
      </c>
    </row>
    <row r="59" spans="1:13" hidden="1" x14ac:dyDescent="0.3">
      <c r="A59" s="12" t="s">
        <v>8</v>
      </c>
      <c r="B59" s="19">
        <v>606</v>
      </c>
      <c r="C59" s="19">
        <v>11728</v>
      </c>
      <c r="D59" s="14">
        <f t="shared" ref="D59:D62" si="73">B59/C59</f>
        <v>5.1671214188267395E-2</v>
      </c>
      <c r="E59" s="12">
        <f t="shared" ref="E59:E62" si="74">ROUND((C59*5%),0)</f>
        <v>586</v>
      </c>
      <c r="F59" s="12">
        <f t="shared" ref="F59:F62" si="75">B59-E59</f>
        <v>20</v>
      </c>
      <c r="G59" s="23">
        <f t="shared" ref="G59:G62" si="76">IF(F59&lt;0,"$0",(F59*89))</f>
        <v>1780</v>
      </c>
      <c r="I59" s="19" t="s">
        <v>8</v>
      </c>
      <c r="J59" s="29" t="str">
        <f t="shared" si="71"/>
        <v>$0</v>
      </c>
      <c r="K59" s="28">
        <f t="shared" si="72"/>
        <v>0</v>
      </c>
      <c r="L59" s="28">
        <f t="shared" ref="L59:L62" si="77">G59</f>
        <v>1780</v>
      </c>
      <c r="M59" s="28">
        <f t="shared" ref="M59:M62" si="78">SUM(J59:L59)</f>
        <v>1780</v>
      </c>
    </row>
    <row r="60" spans="1:13" hidden="1" x14ac:dyDescent="0.3">
      <c r="A60" s="12" t="s">
        <v>9</v>
      </c>
      <c r="B60" s="19">
        <v>637</v>
      </c>
      <c r="C60" s="19">
        <v>11842</v>
      </c>
      <c r="D60" s="14">
        <f t="shared" si="73"/>
        <v>5.3791589258571186E-2</v>
      </c>
      <c r="E60" s="12">
        <f t="shared" si="74"/>
        <v>592</v>
      </c>
      <c r="F60" s="12">
        <f t="shared" si="75"/>
        <v>45</v>
      </c>
      <c r="G60" s="23">
        <f t="shared" si="76"/>
        <v>4005</v>
      </c>
      <c r="I60" s="19" t="s">
        <v>9</v>
      </c>
      <c r="J60" s="29" t="str">
        <f t="shared" si="71"/>
        <v>$0</v>
      </c>
      <c r="K60" s="28">
        <f t="shared" si="72"/>
        <v>0</v>
      </c>
      <c r="L60" s="28">
        <f t="shared" si="77"/>
        <v>4005</v>
      </c>
      <c r="M60" s="28">
        <f t="shared" si="78"/>
        <v>4005</v>
      </c>
    </row>
    <row r="61" spans="1:13" hidden="1" x14ac:dyDescent="0.3">
      <c r="A61" s="12" t="s">
        <v>10</v>
      </c>
      <c r="B61" s="19">
        <v>709</v>
      </c>
      <c r="C61" s="19">
        <v>12136</v>
      </c>
      <c r="D61" s="14">
        <f t="shared" si="73"/>
        <v>5.8421226104152936E-2</v>
      </c>
      <c r="E61" s="12">
        <f t="shared" si="74"/>
        <v>607</v>
      </c>
      <c r="F61" s="12">
        <f t="shared" si="75"/>
        <v>102</v>
      </c>
      <c r="G61" s="23">
        <f t="shared" si="76"/>
        <v>9078</v>
      </c>
      <c r="I61" s="19" t="s">
        <v>10</v>
      </c>
      <c r="J61" s="29" t="str">
        <f t="shared" si="71"/>
        <v>$0</v>
      </c>
      <c r="K61" s="28">
        <f t="shared" si="72"/>
        <v>0</v>
      </c>
      <c r="L61" s="28">
        <f t="shared" si="77"/>
        <v>9078</v>
      </c>
      <c r="M61" s="28">
        <f t="shared" si="78"/>
        <v>9078</v>
      </c>
    </row>
    <row r="62" spans="1:13" hidden="1" x14ac:dyDescent="0.3">
      <c r="A62" s="12" t="s">
        <v>11</v>
      </c>
      <c r="B62" s="19">
        <v>783</v>
      </c>
      <c r="C62" s="19">
        <v>12306</v>
      </c>
      <c r="D62" s="14">
        <f t="shared" si="73"/>
        <v>6.3627498781082398E-2</v>
      </c>
      <c r="E62" s="12">
        <f t="shared" si="74"/>
        <v>615</v>
      </c>
      <c r="F62" s="12">
        <f t="shared" si="75"/>
        <v>168</v>
      </c>
      <c r="G62" s="23">
        <f t="shared" si="76"/>
        <v>14952</v>
      </c>
      <c r="I62" s="19" t="s">
        <v>11</v>
      </c>
      <c r="J62" s="29" t="str">
        <f t="shared" si="71"/>
        <v>$0</v>
      </c>
      <c r="K62" s="28">
        <f t="shared" si="72"/>
        <v>0</v>
      </c>
      <c r="L62" s="28">
        <f t="shared" si="77"/>
        <v>14952</v>
      </c>
      <c r="M62" s="28">
        <f t="shared" si="78"/>
        <v>14952</v>
      </c>
    </row>
    <row r="63" spans="1:13" hidden="1" x14ac:dyDescent="0.3">
      <c r="A63" s="12" t="s">
        <v>12</v>
      </c>
      <c r="B63" s="19">
        <v>670</v>
      </c>
      <c r="C63" s="19">
        <v>12601</v>
      </c>
      <c r="D63" s="14">
        <f t="shared" ref="D63:D70" si="79">B63/C63</f>
        <v>5.3170383302912468E-2</v>
      </c>
      <c r="E63" s="12">
        <f t="shared" ref="E63:E67" si="80">ROUND((C63*5%),0)</f>
        <v>630</v>
      </c>
      <c r="F63" s="12">
        <f t="shared" ref="F63:F67" si="81">B63-E63</f>
        <v>40</v>
      </c>
      <c r="G63" s="23">
        <f t="shared" ref="G63:G67" si="82">IF(F63&lt;0,"$0",(F63*89))</f>
        <v>3560</v>
      </c>
      <c r="I63" s="12" t="s">
        <v>12</v>
      </c>
      <c r="J63" s="29" t="str">
        <f t="shared" si="71"/>
        <v>$0</v>
      </c>
      <c r="K63" s="28">
        <f t="shared" si="72"/>
        <v>0</v>
      </c>
      <c r="L63" s="28">
        <f t="shared" ref="L63:L67" si="83">G63</f>
        <v>3560</v>
      </c>
      <c r="M63" s="28">
        <f t="shared" ref="M63:M67" si="84">SUM(J63:L63)</f>
        <v>3560</v>
      </c>
    </row>
    <row r="64" spans="1:13" hidden="1" x14ac:dyDescent="0.3">
      <c r="A64" s="12" t="s">
        <v>13</v>
      </c>
      <c r="B64" s="19">
        <v>793</v>
      </c>
      <c r="C64" s="19">
        <v>12740</v>
      </c>
      <c r="D64" s="14">
        <f t="shared" si="79"/>
        <v>6.224489795918367E-2</v>
      </c>
      <c r="E64" s="12">
        <f t="shared" si="80"/>
        <v>637</v>
      </c>
      <c r="F64" s="12">
        <f t="shared" si="81"/>
        <v>156</v>
      </c>
      <c r="G64" s="23">
        <f t="shared" si="82"/>
        <v>13884</v>
      </c>
      <c r="I64" s="12" t="s">
        <v>13</v>
      </c>
      <c r="J64" s="29" t="str">
        <f t="shared" si="71"/>
        <v>$0</v>
      </c>
      <c r="K64" s="28">
        <f t="shared" si="72"/>
        <v>0</v>
      </c>
      <c r="L64" s="28">
        <f t="shared" si="83"/>
        <v>13884</v>
      </c>
      <c r="M64" s="28">
        <f t="shared" si="84"/>
        <v>13884</v>
      </c>
    </row>
    <row r="65" spans="1:13" hidden="1" x14ac:dyDescent="0.3">
      <c r="A65" s="12" t="s">
        <v>112</v>
      </c>
      <c r="B65" s="19">
        <v>851</v>
      </c>
      <c r="C65" s="19">
        <v>12936</v>
      </c>
      <c r="D65" s="14">
        <f t="shared" si="79"/>
        <v>6.5785405071119352E-2</v>
      </c>
      <c r="E65" s="12">
        <f t="shared" si="80"/>
        <v>647</v>
      </c>
      <c r="F65" s="12">
        <f t="shared" si="81"/>
        <v>204</v>
      </c>
      <c r="G65" s="23">
        <f t="shared" si="82"/>
        <v>18156</v>
      </c>
      <c r="I65" s="12" t="s">
        <v>112</v>
      </c>
      <c r="J65" s="46">
        <f t="shared" si="71"/>
        <v>8775</v>
      </c>
      <c r="K65" s="28">
        <f t="shared" si="72"/>
        <v>0</v>
      </c>
      <c r="L65" s="28">
        <f t="shared" si="83"/>
        <v>18156</v>
      </c>
      <c r="M65" s="28">
        <f t="shared" si="84"/>
        <v>26931</v>
      </c>
    </row>
    <row r="66" spans="1:13" hidden="1" x14ac:dyDescent="0.3">
      <c r="A66" s="12" t="s">
        <v>14</v>
      </c>
      <c r="B66" s="19">
        <v>669</v>
      </c>
      <c r="C66" s="19">
        <v>13079</v>
      </c>
      <c r="D66" s="14">
        <f t="shared" si="79"/>
        <v>5.1150699594770241E-2</v>
      </c>
      <c r="E66" s="12">
        <f t="shared" si="80"/>
        <v>654</v>
      </c>
      <c r="F66" s="12">
        <f t="shared" si="81"/>
        <v>15</v>
      </c>
      <c r="G66" s="23">
        <f t="shared" si="82"/>
        <v>1335</v>
      </c>
      <c r="I66" s="12" t="s">
        <v>14</v>
      </c>
      <c r="J66" s="44" t="str">
        <f t="shared" si="71"/>
        <v>$0</v>
      </c>
      <c r="K66" s="28">
        <f t="shared" si="72"/>
        <v>0</v>
      </c>
      <c r="L66" s="28">
        <f t="shared" si="83"/>
        <v>1335</v>
      </c>
      <c r="M66" s="28">
        <f t="shared" si="84"/>
        <v>1335</v>
      </c>
    </row>
    <row r="67" spans="1:13" hidden="1" x14ac:dyDescent="0.3">
      <c r="A67" s="12" t="s">
        <v>15</v>
      </c>
      <c r="B67" s="19">
        <v>811</v>
      </c>
      <c r="C67" s="19">
        <v>13515</v>
      </c>
      <c r="D67" s="14">
        <f t="shared" si="79"/>
        <v>6.0007399186089529E-2</v>
      </c>
      <c r="E67" s="12">
        <f t="shared" si="80"/>
        <v>676</v>
      </c>
      <c r="F67" s="12">
        <f t="shared" si="81"/>
        <v>135</v>
      </c>
      <c r="G67" s="23">
        <f t="shared" si="82"/>
        <v>12015</v>
      </c>
      <c r="I67" s="12" t="s">
        <v>15</v>
      </c>
      <c r="J67" s="44">
        <f t="shared" si="71"/>
        <v>780</v>
      </c>
      <c r="K67" s="28">
        <f t="shared" si="72"/>
        <v>0</v>
      </c>
      <c r="L67" s="28">
        <f t="shared" si="83"/>
        <v>12015</v>
      </c>
      <c r="M67" s="28">
        <f t="shared" si="84"/>
        <v>12795</v>
      </c>
    </row>
    <row r="68" spans="1:13" hidden="1" x14ac:dyDescent="0.3">
      <c r="A68" s="12" t="s">
        <v>16</v>
      </c>
      <c r="B68" s="19">
        <v>716</v>
      </c>
      <c r="C68" s="19">
        <v>13652</v>
      </c>
      <c r="D68" s="14">
        <f t="shared" si="79"/>
        <v>5.2446527981248166E-2</v>
      </c>
      <c r="E68" s="12">
        <f t="shared" ref="E68:E70" si="85">ROUND((C68*5%),0)</f>
        <v>683</v>
      </c>
      <c r="F68" s="12">
        <v>32</v>
      </c>
      <c r="G68" s="23">
        <f t="shared" ref="G68:G70" si="86">IF(F68&lt;0,"$0",(F68*89))</f>
        <v>2848</v>
      </c>
      <c r="I68" s="12" t="s">
        <v>16</v>
      </c>
      <c r="J68" s="29" t="str">
        <f t="shared" si="71"/>
        <v>$0</v>
      </c>
      <c r="K68" s="28">
        <f t="shared" si="72"/>
        <v>0</v>
      </c>
      <c r="L68" s="28">
        <f t="shared" ref="L68:L70" si="87">G68</f>
        <v>2848</v>
      </c>
      <c r="M68" s="28">
        <f t="shared" ref="M68:M70" si="88">SUM(J68:L68)</f>
        <v>2848</v>
      </c>
    </row>
    <row r="69" spans="1:13" hidden="1" x14ac:dyDescent="0.3">
      <c r="A69" s="12" t="s">
        <v>17</v>
      </c>
      <c r="B69" s="19">
        <v>731</v>
      </c>
      <c r="C69" s="19">
        <v>13886</v>
      </c>
      <c r="D69" s="14">
        <f t="shared" si="79"/>
        <v>5.2642949733544581E-2</v>
      </c>
      <c r="E69" s="12">
        <f t="shared" si="85"/>
        <v>694</v>
      </c>
      <c r="F69" s="12">
        <v>19</v>
      </c>
      <c r="G69" s="23">
        <f t="shared" si="86"/>
        <v>1691</v>
      </c>
      <c r="I69" s="12" t="s">
        <v>17</v>
      </c>
      <c r="J69" s="29">
        <f t="shared" si="71"/>
        <v>9243</v>
      </c>
      <c r="K69" s="28">
        <f t="shared" si="72"/>
        <v>0</v>
      </c>
      <c r="L69" s="28">
        <f t="shared" si="87"/>
        <v>1691</v>
      </c>
      <c r="M69" s="28">
        <f t="shared" si="88"/>
        <v>10934</v>
      </c>
    </row>
    <row r="70" spans="1:13" hidden="1" x14ac:dyDescent="0.3">
      <c r="A70" s="12" t="s">
        <v>18</v>
      </c>
      <c r="B70" s="19">
        <v>799</v>
      </c>
      <c r="C70" s="19">
        <f t="shared" ref="C70:C82" si="89">C27</f>
        <v>14160</v>
      </c>
      <c r="D70" s="14">
        <f t="shared" si="79"/>
        <v>5.6426553672316387E-2</v>
      </c>
      <c r="E70" s="12">
        <f t="shared" si="85"/>
        <v>708</v>
      </c>
      <c r="F70" s="12">
        <f t="shared" ref="F70" si="90">B70-E70</f>
        <v>91</v>
      </c>
      <c r="G70" s="23">
        <f t="shared" si="86"/>
        <v>8099</v>
      </c>
      <c r="I70" s="12" t="s">
        <v>18</v>
      </c>
      <c r="J70" s="29">
        <f t="shared" si="71"/>
        <v>3900</v>
      </c>
      <c r="K70" s="28">
        <f t="shared" si="72"/>
        <v>0</v>
      </c>
      <c r="L70" s="28">
        <f t="shared" si="87"/>
        <v>8099</v>
      </c>
      <c r="M70" s="28">
        <f t="shared" si="88"/>
        <v>11999</v>
      </c>
    </row>
    <row r="71" spans="1:13" x14ac:dyDescent="0.3">
      <c r="A71" s="12" t="s">
        <v>8</v>
      </c>
      <c r="B71" s="19">
        <v>890</v>
      </c>
      <c r="C71" s="19">
        <v>14247</v>
      </c>
      <c r="D71" s="14">
        <f t="shared" ref="D71:D82" si="91">B71/C71</f>
        <v>6.2469291780725765E-2</v>
      </c>
      <c r="E71" s="12">
        <f t="shared" ref="E71:E82" si="92">ROUND((C71*5%),0)</f>
        <v>712</v>
      </c>
      <c r="F71" s="12">
        <v>178</v>
      </c>
      <c r="G71" s="23">
        <f t="shared" ref="G71:G82" si="93">IF(F71&lt;0,"$0",(F71*89))</f>
        <v>15842</v>
      </c>
      <c r="I71" s="12" t="s">
        <v>8</v>
      </c>
      <c r="J71" s="29" t="str">
        <f t="shared" ref="J71:J82" si="94">S28</f>
        <v>$0</v>
      </c>
      <c r="K71" s="28">
        <f t="shared" ref="K71:K82" si="95">O28</f>
        <v>0</v>
      </c>
      <c r="L71" s="28">
        <f t="shared" ref="L71:L82" si="96">G71</f>
        <v>15842</v>
      </c>
      <c r="M71" s="28">
        <f t="shared" ref="M71:M82" si="97">SUM(J71:L71)</f>
        <v>15842</v>
      </c>
    </row>
    <row r="72" spans="1:13" x14ac:dyDescent="0.3">
      <c r="A72" s="12" t="s">
        <v>9</v>
      </c>
      <c r="B72" s="19">
        <v>828</v>
      </c>
      <c r="C72" s="19">
        <f t="shared" si="89"/>
        <v>14579</v>
      </c>
      <c r="D72" s="14">
        <f t="shared" si="91"/>
        <v>5.6794018794155979E-2</v>
      </c>
      <c r="E72" s="12">
        <v>728</v>
      </c>
      <c r="F72" s="12">
        <v>100</v>
      </c>
      <c r="G72" s="23">
        <f t="shared" si="93"/>
        <v>8900</v>
      </c>
      <c r="I72" s="12" t="s">
        <v>9</v>
      </c>
      <c r="J72" s="29">
        <f t="shared" si="94"/>
        <v>3666</v>
      </c>
      <c r="K72" s="28">
        <f t="shared" si="95"/>
        <v>0</v>
      </c>
      <c r="L72" s="28">
        <f t="shared" si="96"/>
        <v>8900</v>
      </c>
      <c r="M72" s="28">
        <f t="shared" si="97"/>
        <v>12566</v>
      </c>
    </row>
    <row r="73" spans="1:13" x14ac:dyDescent="0.3">
      <c r="A73" s="12" t="s">
        <v>10</v>
      </c>
      <c r="B73" s="19">
        <v>815</v>
      </c>
      <c r="C73" s="19">
        <f t="shared" si="89"/>
        <v>14831</v>
      </c>
      <c r="D73" s="14">
        <f t="shared" si="91"/>
        <v>5.4952464432607373E-2</v>
      </c>
      <c r="E73" s="12">
        <v>741</v>
      </c>
      <c r="F73" s="12">
        <v>74</v>
      </c>
      <c r="G73" s="23">
        <f t="shared" si="93"/>
        <v>6586</v>
      </c>
      <c r="I73" s="12" t="s">
        <v>10</v>
      </c>
      <c r="J73" s="29" t="str">
        <f t="shared" si="94"/>
        <v>$0</v>
      </c>
      <c r="K73" s="28">
        <f t="shared" si="95"/>
        <v>0</v>
      </c>
      <c r="L73" s="28">
        <f t="shared" si="96"/>
        <v>6586</v>
      </c>
      <c r="M73" s="28">
        <f t="shared" si="97"/>
        <v>6586</v>
      </c>
    </row>
    <row r="74" spans="1:13" x14ac:dyDescent="0.3">
      <c r="A74" s="12" t="s">
        <v>11</v>
      </c>
      <c r="B74" s="19">
        <v>985</v>
      </c>
      <c r="C74" s="19">
        <f t="shared" si="89"/>
        <v>15033</v>
      </c>
      <c r="D74" s="14">
        <f t="shared" si="91"/>
        <v>6.552251712898291E-2</v>
      </c>
      <c r="E74" s="12">
        <f t="shared" si="92"/>
        <v>752</v>
      </c>
      <c r="F74" s="12">
        <v>234</v>
      </c>
      <c r="G74" s="23">
        <f t="shared" si="93"/>
        <v>20826</v>
      </c>
      <c r="I74" s="12" t="s">
        <v>11</v>
      </c>
      <c r="J74" s="29">
        <f t="shared" si="94"/>
        <v>4563</v>
      </c>
      <c r="K74" s="28">
        <f t="shared" si="95"/>
        <v>0</v>
      </c>
      <c r="L74" s="28">
        <f t="shared" si="96"/>
        <v>20826</v>
      </c>
      <c r="M74" s="28">
        <f t="shared" si="97"/>
        <v>25389</v>
      </c>
    </row>
    <row r="75" spans="1:13" x14ac:dyDescent="0.3">
      <c r="A75" s="12" t="s">
        <v>12</v>
      </c>
      <c r="B75" s="19">
        <v>911</v>
      </c>
      <c r="C75" s="19">
        <f t="shared" si="89"/>
        <v>15194</v>
      </c>
      <c r="D75" s="14">
        <f t="shared" si="91"/>
        <v>5.9957878109780177E-2</v>
      </c>
      <c r="E75" s="12">
        <f t="shared" si="92"/>
        <v>760</v>
      </c>
      <c r="F75" s="12">
        <v>152</v>
      </c>
      <c r="G75" s="23">
        <f t="shared" si="93"/>
        <v>13528</v>
      </c>
      <c r="I75" s="12" t="s">
        <v>12</v>
      </c>
      <c r="J75" s="29">
        <f t="shared" si="94"/>
        <v>12363</v>
      </c>
      <c r="K75" s="28">
        <f t="shared" si="95"/>
        <v>0</v>
      </c>
      <c r="L75" s="28">
        <f t="shared" si="96"/>
        <v>13528</v>
      </c>
      <c r="M75" s="28">
        <f t="shared" si="97"/>
        <v>25891</v>
      </c>
    </row>
    <row r="76" spans="1:13" x14ac:dyDescent="0.3">
      <c r="A76" s="12" t="s">
        <v>28</v>
      </c>
      <c r="B76" s="19">
        <v>953</v>
      </c>
      <c r="C76" s="19">
        <v>15471</v>
      </c>
      <c r="D76" s="14">
        <f t="shared" si="91"/>
        <v>6.1599120935944669E-2</v>
      </c>
      <c r="E76" s="12">
        <f t="shared" si="92"/>
        <v>774</v>
      </c>
      <c r="F76" s="52">
        <f>ROUNDUP(B76-(C76*5%),0)</f>
        <v>180</v>
      </c>
      <c r="G76" s="23">
        <f t="shared" si="93"/>
        <v>16020</v>
      </c>
      <c r="I76" s="12" t="s">
        <v>28</v>
      </c>
      <c r="J76" s="29">
        <f t="shared" si="94"/>
        <v>13221</v>
      </c>
      <c r="K76" s="28">
        <f t="shared" si="95"/>
        <v>0</v>
      </c>
      <c r="L76" s="28">
        <f t="shared" si="96"/>
        <v>16020</v>
      </c>
      <c r="M76" s="28">
        <f t="shared" si="97"/>
        <v>29241</v>
      </c>
    </row>
    <row r="77" spans="1:13" x14ac:dyDescent="0.3">
      <c r="A77" s="12" t="s">
        <v>117</v>
      </c>
      <c r="B77" s="19">
        <v>1164</v>
      </c>
      <c r="C77" s="19">
        <f t="shared" si="89"/>
        <v>15926</v>
      </c>
      <c r="D77" s="14">
        <f t="shared" si="91"/>
        <v>7.3088032148687684E-2</v>
      </c>
      <c r="E77" s="12">
        <f t="shared" si="92"/>
        <v>796</v>
      </c>
      <c r="F77" s="52">
        <f>ROUNDUP(B77-(C77*5%),0)</f>
        <v>368</v>
      </c>
      <c r="G77" s="23">
        <f t="shared" si="93"/>
        <v>32752</v>
      </c>
      <c r="I77" s="12" t="s">
        <v>117</v>
      </c>
      <c r="J77" s="29">
        <f t="shared" si="94"/>
        <v>23244</v>
      </c>
      <c r="K77" s="28">
        <f t="shared" si="95"/>
        <v>0</v>
      </c>
      <c r="L77" s="28">
        <f t="shared" si="96"/>
        <v>32752</v>
      </c>
      <c r="M77" s="28">
        <f t="shared" si="97"/>
        <v>55996</v>
      </c>
    </row>
    <row r="78" spans="1:13" x14ac:dyDescent="0.3">
      <c r="A78" s="12" t="s">
        <v>14</v>
      </c>
      <c r="B78" s="19">
        <v>1068</v>
      </c>
      <c r="C78" s="19">
        <f t="shared" si="89"/>
        <v>16151</v>
      </c>
      <c r="D78" s="14">
        <f t="shared" si="91"/>
        <v>6.6125936474521696E-2</v>
      </c>
      <c r="E78" s="12">
        <f t="shared" si="92"/>
        <v>808</v>
      </c>
      <c r="F78" s="12">
        <f t="shared" ref="F78:F82" si="98">B78-E78</f>
        <v>260</v>
      </c>
      <c r="G78" s="23">
        <f t="shared" si="93"/>
        <v>23140</v>
      </c>
      <c r="I78" s="12" t="s">
        <v>14</v>
      </c>
      <c r="J78" s="29">
        <f t="shared" si="94"/>
        <v>17706</v>
      </c>
      <c r="K78" s="28">
        <f t="shared" si="95"/>
        <v>0</v>
      </c>
      <c r="L78" s="28">
        <f t="shared" si="96"/>
        <v>23140</v>
      </c>
      <c r="M78" s="28">
        <f t="shared" si="97"/>
        <v>40846</v>
      </c>
    </row>
    <row r="79" spans="1:13" x14ac:dyDescent="0.3">
      <c r="A79" s="12" t="s">
        <v>15</v>
      </c>
      <c r="B79" s="19">
        <v>1070</v>
      </c>
      <c r="C79" s="19">
        <v>16354</v>
      </c>
      <c r="D79" s="14">
        <f t="shared" si="91"/>
        <v>6.5427418368594836E-2</v>
      </c>
      <c r="E79" s="12">
        <f t="shared" si="92"/>
        <v>818</v>
      </c>
      <c r="F79" s="12">
        <f t="shared" si="98"/>
        <v>252</v>
      </c>
      <c r="G79" s="23">
        <f t="shared" si="93"/>
        <v>22428</v>
      </c>
      <c r="I79" s="12" t="s">
        <v>15</v>
      </c>
      <c r="J79" s="29">
        <f t="shared" si="94"/>
        <v>16770</v>
      </c>
      <c r="K79" s="28">
        <f t="shared" si="95"/>
        <v>0</v>
      </c>
      <c r="L79" s="28">
        <f t="shared" si="96"/>
        <v>22428</v>
      </c>
      <c r="M79" s="28">
        <f t="shared" si="97"/>
        <v>39198</v>
      </c>
    </row>
    <row r="80" spans="1:13" x14ac:dyDescent="0.3">
      <c r="A80" s="12" t="s">
        <v>16</v>
      </c>
      <c r="B80" s="19">
        <v>719</v>
      </c>
      <c r="C80" s="19">
        <v>16494</v>
      </c>
      <c r="D80" s="14">
        <f t="shared" si="91"/>
        <v>4.3591609069964836E-2</v>
      </c>
      <c r="E80" s="12">
        <f t="shared" si="92"/>
        <v>825</v>
      </c>
      <c r="F80" s="12">
        <f t="shared" si="98"/>
        <v>-106</v>
      </c>
      <c r="G80" s="23" t="str">
        <f t="shared" si="93"/>
        <v>$0</v>
      </c>
      <c r="I80" s="12" t="s">
        <v>16</v>
      </c>
      <c r="J80" s="29" t="str">
        <f t="shared" si="94"/>
        <v>$0</v>
      </c>
      <c r="K80" s="28">
        <f t="shared" si="95"/>
        <v>0</v>
      </c>
      <c r="L80" s="28" t="str">
        <f t="shared" si="96"/>
        <v>$0</v>
      </c>
      <c r="M80" s="28">
        <f t="shared" si="97"/>
        <v>0</v>
      </c>
    </row>
    <row r="81" spans="1:13" x14ac:dyDescent="0.3">
      <c r="A81" s="12" t="s">
        <v>17</v>
      </c>
      <c r="B81" s="19"/>
      <c r="C81" s="19">
        <f t="shared" si="89"/>
        <v>0</v>
      </c>
      <c r="D81" s="14" t="e">
        <f t="shared" si="91"/>
        <v>#DIV/0!</v>
      </c>
      <c r="E81" s="12">
        <f t="shared" si="92"/>
        <v>0</v>
      </c>
      <c r="F81" s="12">
        <f t="shared" si="98"/>
        <v>0</v>
      </c>
      <c r="G81" s="23">
        <f t="shared" si="93"/>
        <v>0</v>
      </c>
      <c r="I81" s="12" t="s">
        <v>17</v>
      </c>
      <c r="J81" s="29">
        <f t="shared" si="94"/>
        <v>0</v>
      </c>
      <c r="K81" s="28">
        <f t="shared" si="95"/>
        <v>0</v>
      </c>
      <c r="L81" s="28">
        <f t="shared" si="96"/>
        <v>0</v>
      </c>
      <c r="M81" s="28">
        <f t="shared" si="97"/>
        <v>0</v>
      </c>
    </row>
    <row r="82" spans="1:13" x14ac:dyDescent="0.3">
      <c r="A82" s="12" t="s">
        <v>18</v>
      </c>
      <c r="B82" s="19"/>
      <c r="C82" s="19">
        <f t="shared" si="89"/>
        <v>0</v>
      </c>
      <c r="D82" s="14" t="e">
        <f t="shared" si="91"/>
        <v>#DIV/0!</v>
      </c>
      <c r="E82" s="12">
        <f t="shared" si="92"/>
        <v>0</v>
      </c>
      <c r="F82" s="12">
        <f t="shared" si="98"/>
        <v>0</v>
      </c>
      <c r="G82" s="23">
        <f t="shared" si="93"/>
        <v>0</v>
      </c>
      <c r="I82" s="12" t="s">
        <v>18</v>
      </c>
      <c r="J82" s="29">
        <f t="shared" si="94"/>
        <v>0</v>
      </c>
      <c r="K82" s="28">
        <f t="shared" si="95"/>
        <v>0</v>
      </c>
      <c r="L82" s="28">
        <f t="shared" si="96"/>
        <v>0</v>
      </c>
      <c r="M82" s="28">
        <f t="shared" si="97"/>
        <v>0</v>
      </c>
    </row>
  </sheetData>
  <mergeCells count="5">
    <mergeCell ref="P1:S1"/>
    <mergeCell ref="A1:F1"/>
    <mergeCell ref="I1:N1"/>
    <mergeCell ref="A44:G44"/>
    <mergeCell ref="I44:M44"/>
  </mergeCells>
  <phoneticPr fontId="13" type="noConversion"/>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2CA9E89-56F1-4F93-9CBD-5D6D3F95EBDC}">
  <sheetPr>
    <tabColor rgb="FFFF0000"/>
  </sheetPr>
  <dimension ref="A1:N56"/>
  <sheetViews>
    <sheetView topLeftCell="A16" zoomScaleNormal="100" workbookViewId="0">
      <selection activeCell="J41" sqref="J41"/>
    </sheetView>
  </sheetViews>
  <sheetFormatPr defaultRowHeight="15.05" x14ac:dyDescent="0.3"/>
  <cols>
    <col min="1" max="1" width="12.5546875" style="11" customWidth="1"/>
    <col min="2" max="2" width="13.44140625" style="11" bestFit="1" customWidth="1"/>
    <col min="3" max="3" width="11" style="11" bestFit="1" customWidth="1"/>
    <col min="4" max="5" width="11" style="11" customWidth="1"/>
    <col min="6" max="7" width="16.5546875" customWidth="1"/>
    <col min="8" max="8" width="11.33203125" style="11" bestFit="1" customWidth="1"/>
    <col min="9" max="10" width="13.44140625" style="11" customWidth="1"/>
    <col min="11" max="11" width="10" customWidth="1"/>
    <col min="12" max="12" width="9.109375" style="11" customWidth="1"/>
    <col min="13" max="13" width="9.109375" customWidth="1"/>
    <col min="14" max="14" width="12" bestFit="1" customWidth="1"/>
    <col min="15" max="15" width="7.33203125" bestFit="1" customWidth="1"/>
    <col min="16" max="16" width="10" bestFit="1" customWidth="1"/>
    <col min="17" max="17" width="11.33203125" bestFit="1" customWidth="1"/>
  </cols>
  <sheetData>
    <row r="1" spans="1:14" ht="30.05" x14ac:dyDescent="0.3">
      <c r="A1" s="1" t="s">
        <v>3</v>
      </c>
      <c r="B1" s="1" t="s">
        <v>29</v>
      </c>
      <c r="C1" s="1" t="s">
        <v>30</v>
      </c>
      <c r="D1" s="1" t="s">
        <v>101</v>
      </c>
      <c r="E1" s="1" t="s">
        <v>7</v>
      </c>
      <c r="F1" s="1" t="s">
        <v>31</v>
      </c>
      <c r="G1" s="1" t="s">
        <v>32</v>
      </c>
      <c r="H1" s="1" t="s">
        <v>97</v>
      </c>
      <c r="I1" s="1" t="s">
        <v>33</v>
      </c>
      <c r="J1" s="1" t="s">
        <v>34</v>
      </c>
      <c r="K1" s="30" t="s">
        <v>96</v>
      </c>
      <c r="L1" s="30" t="s">
        <v>102</v>
      </c>
    </row>
    <row r="2" spans="1:14" hidden="1" x14ac:dyDescent="0.3">
      <c r="A2" s="3" t="s">
        <v>8</v>
      </c>
      <c r="B2" s="3">
        <v>7000</v>
      </c>
      <c r="C2" s="3">
        <v>10081</v>
      </c>
      <c r="D2" s="3"/>
      <c r="E2" s="3"/>
      <c r="F2" s="4">
        <v>215</v>
      </c>
      <c r="G2" s="3">
        <v>871</v>
      </c>
      <c r="H2" s="5">
        <v>0.03</v>
      </c>
      <c r="I2" s="6">
        <f t="shared" ref="I2:J8" si="0">F2/B2</f>
        <v>3.0714285714285715E-2</v>
      </c>
      <c r="J2" s="6">
        <f t="shared" si="0"/>
        <v>8.6400158714413255E-2</v>
      </c>
      <c r="K2" s="31">
        <f>(G2+F2)/(C2+B2)</f>
        <v>6.3579415725074639E-2</v>
      </c>
      <c r="L2" s="19"/>
    </row>
    <row r="3" spans="1:14" hidden="1" x14ac:dyDescent="0.3">
      <c r="A3" s="3" t="s">
        <v>9</v>
      </c>
      <c r="B3" s="3">
        <v>7000</v>
      </c>
      <c r="C3" s="3">
        <v>10081</v>
      </c>
      <c r="D3" s="3"/>
      <c r="E3" s="3"/>
      <c r="F3" s="4">
        <v>218</v>
      </c>
      <c r="G3" s="3">
        <v>663</v>
      </c>
      <c r="H3" s="5">
        <v>0.03</v>
      </c>
      <c r="I3" s="6">
        <f t="shared" si="0"/>
        <v>3.1142857142857142E-2</v>
      </c>
      <c r="J3" s="6">
        <f t="shared" si="0"/>
        <v>6.5767284991568295E-2</v>
      </c>
      <c r="K3" s="31">
        <f t="shared" ref="K3:K14" si="1">(G3+F3)/(C3+B3)</f>
        <v>5.1577776476787074E-2</v>
      </c>
      <c r="L3" s="19"/>
    </row>
    <row r="4" spans="1:14" hidden="1" x14ac:dyDescent="0.3">
      <c r="A4" s="3" t="s">
        <v>10</v>
      </c>
      <c r="B4" s="3">
        <v>7000</v>
      </c>
      <c r="C4" s="3">
        <v>10174</v>
      </c>
      <c r="D4" s="3"/>
      <c r="E4" s="3"/>
      <c r="F4" s="4">
        <v>276</v>
      </c>
      <c r="G4" s="3">
        <v>718</v>
      </c>
      <c r="H4" s="5">
        <v>0.03</v>
      </c>
      <c r="I4" s="6">
        <f t="shared" si="0"/>
        <v>3.9428571428571431E-2</v>
      </c>
      <c r="J4" s="6">
        <f t="shared" si="0"/>
        <v>7.0572046392765875E-2</v>
      </c>
      <c r="K4" s="31">
        <f t="shared" si="1"/>
        <v>5.787818795854198E-2</v>
      </c>
      <c r="L4" s="19"/>
    </row>
    <row r="5" spans="1:14" hidden="1" x14ac:dyDescent="0.3">
      <c r="A5" s="3" t="s">
        <v>11</v>
      </c>
      <c r="B5" s="3">
        <v>7000</v>
      </c>
      <c r="C5" s="3">
        <v>10142</v>
      </c>
      <c r="D5" s="3"/>
      <c r="E5" s="3"/>
      <c r="F5" s="4">
        <v>288</v>
      </c>
      <c r="G5" s="3">
        <v>696</v>
      </c>
      <c r="H5" s="5">
        <v>0.03</v>
      </c>
      <c r="I5" s="6">
        <f t="shared" si="0"/>
        <v>4.1142857142857141E-2</v>
      </c>
      <c r="J5" s="6">
        <f t="shared" si="0"/>
        <v>6.8625517649378825E-2</v>
      </c>
      <c r="K5" s="31">
        <f t="shared" si="1"/>
        <v>5.7402870143507173E-2</v>
      </c>
      <c r="L5" s="19"/>
    </row>
    <row r="6" spans="1:14" hidden="1" x14ac:dyDescent="0.3">
      <c r="A6" s="3" t="s">
        <v>12</v>
      </c>
      <c r="B6" s="3">
        <v>7000</v>
      </c>
      <c r="C6" s="3">
        <v>10428</v>
      </c>
      <c r="D6" s="3"/>
      <c r="E6" s="3"/>
      <c r="F6" s="4">
        <v>364</v>
      </c>
      <c r="G6" s="3">
        <v>772</v>
      </c>
      <c r="H6" s="5">
        <v>0.03</v>
      </c>
      <c r="I6" s="6">
        <f t="shared" si="0"/>
        <v>5.1999999999999998E-2</v>
      </c>
      <c r="J6" s="6">
        <f t="shared" si="0"/>
        <v>7.4031453778289222E-2</v>
      </c>
      <c r="K6" s="31">
        <f t="shared" si="1"/>
        <v>6.5182464998852427E-2</v>
      </c>
      <c r="L6" s="19"/>
    </row>
    <row r="7" spans="1:14" hidden="1" x14ac:dyDescent="0.3">
      <c r="A7" s="3" t="s">
        <v>28</v>
      </c>
      <c r="B7" s="3">
        <v>7000</v>
      </c>
      <c r="C7" s="3">
        <v>10575</v>
      </c>
      <c r="D7" s="3"/>
      <c r="E7" s="3"/>
      <c r="F7" s="4">
        <v>492</v>
      </c>
      <c r="G7" s="3">
        <v>853</v>
      </c>
      <c r="H7" s="5">
        <v>0.03</v>
      </c>
      <c r="I7" s="6">
        <f t="shared" si="0"/>
        <v>7.0285714285714285E-2</v>
      </c>
      <c r="J7" s="6">
        <f t="shared" si="0"/>
        <v>8.0661938534278957E-2</v>
      </c>
      <c r="K7" s="31">
        <f t="shared" si="1"/>
        <v>7.652916073968706E-2</v>
      </c>
      <c r="L7" s="19"/>
    </row>
    <row r="8" spans="1:14" ht="30.05" hidden="1" x14ac:dyDescent="0.3">
      <c r="A8" s="33" t="s">
        <v>98</v>
      </c>
      <c r="B8" s="3">
        <v>7000</v>
      </c>
      <c r="C8" s="27">
        <f>Overages!C10</f>
        <v>10773</v>
      </c>
      <c r="D8" s="27"/>
      <c r="E8" s="27"/>
      <c r="F8" s="4">
        <v>187</v>
      </c>
      <c r="G8" s="3">
        <v>504</v>
      </c>
      <c r="H8" s="5">
        <v>0.03</v>
      </c>
      <c r="I8" s="6">
        <f t="shared" si="0"/>
        <v>2.6714285714285715E-2</v>
      </c>
      <c r="J8" s="6">
        <f t="shared" si="0"/>
        <v>4.6783625730994149E-2</v>
      </c>
      <c r="K8" s="31">
        <f t="shared" si="1"/>
        <v>3.8879198784673379E-2</v>
      </c>
      <c r="L8" s="19"/>
    </row>
    <row r="9" spans="1:14" ht="30.05" hidden="1" x14ac:dyDescent="0.3">
      <c r="A9" s="33" t="s">
        <v>99</v>
      </c>
      <c r="B9" s="3">
        <v>12174</v>
      </c>
      <c r="C9" s="27">
        <v>10773</v>
      </c>
      <c r="D9" s="27"/>
      <c r="E9" s="27"/>
      <c r="F9" s="4">
        <v>227</v>
      </c>
      <c r="G9" s="3">
        <v>450</v>
      </c>
      <c r="H9" s="5">
        <v>0.05</v>
      </c>
      <c r="I9" s="6">
        <f t="shared" ref="I9" si="2">F9/B9</f>
        <v>1.8646295383604402E-2</v>
      </c>
      <c r="J9" s="6">
        <f t="shared" ref="J9" si="3">G9/C9</f>
        <v>4.1771094402673348E-2</v>
      </c>
      <c r="K9" s="31">
        <f t="shared" si="1"/>
        <v>2.9502767246263127E-2</v>
      </c>
      <c r="L9" s="19"/>
    </row>
    <row r="10" spans="1:14" hidden="1" x14ac:dyDescent="0.3">
      <c r="A10" s="3" t="s">
        <v>14</v>
      </c>
      <c r="B10" s="3">
        <v>12174</v>
      </c>
      <c r="C10" s="27">
        <f>Overages!C11</f>
        <v>11086</v>
      </c>
      <c r="D10" s="27">
        <f>Overages!E11+Overages!M11</f>
        <v>1163</v>
      </c>
      <c r="E10" s="27">
        <f>F10+G10-D10</f>
        <v>-45</v>
      </c>
      <c r="F10" s="4">
        <f>Overages!J11</f>
        <v>422</v>
      </c>
      <c r="G10" s="3">
        <f>Overages!B11</f>
        <v>696</v>
      </c>
      <c r="H10" s="5">
        <v>0.05</v>
      </c>
      <c r="I10" s="6">
        <f t="shared" ref="I10:J14" si="4">F10/B10</f>
        <v>3.4664038114013473E-2</v>
      </c>
      <c r="J10" s="6">
        <f t="shared" si="4"/>
        <v>6.2781887064766367E-2</v>
      </c>
      <c r="K10" s="31">
        <f t="shared" si="1"/>
        <v>4.8065348237317285E-2</v>
      </c>
      <c r="L10" s="19" t="str">
        <f>IF(E10&lt;0,"$0",(E10*39))</f>
        <v>$0</v>
      </c>
      <c r="M10" s="35"/>
      <c r="N10" s="3"/>
    </row>
    <row r="11" spans="1:14" hidden="1" x14ac:dyDescent="0.3">
      <c r="A11" s="3" t="s">
        <v>15</v>
      </c>
      <c r="B11" s="3">
        <v>12174</v>
      </c>
      <c r="C11" s="27">
        <f>Overages!C12</f>
        <v>11179</v>
      </c>
      <c r="D11" s="27">
        <f>Overages!E12+Overages!M12</f>
        <v>1168</v>
      </c>
      <c r="E11" s="27">
        <f t="shared" ref="E11:E14" si="5">F11+G11-D11</f>
        <v>-98</v>
      </c>
      <c r="F11" s="4">
        <f>Overages!J12</f>
        <v>488</v>
      </c>
      <c r="G11" s="3">
        <f>Overages!B12</f>
        <v>582</v>
      </c>
      <c r="H11" s="5">
        <v>0.05</v>
      </c>
      <c r="I11" s="6">
        <f t="shared" si="4"/>
        <v>4.0085427961228846E-2</v>
      </c>
      <c r="J11" s="6">
        <f t="shared" si="4"/>
        <v>5.2061901780123446E-2</v>
      </c>
      <c r="K11" s="31">
        <f t="shared" si="1"/>
        <v>4.5818524386588448E-2</v>
      </c>
      <c r="L11" s="19" t="str">
        <f t="shared" ref="L11:L14" si="6">IF(E11&lt;0,"$0",(E11*39))</f>
        <v>$0</v>
      </c>
      <c r="M11" s="32"/>
      <c r="N11" s="32"/>
    </row>
    <row r="12" spans="1:14" hidden="1" x14ac:dyDescent="0.3">
      <c r="A12" s="3" t="s">
        <v>16</v>
      </c>
      <c r="B12" s="3">
        <v>12174</v>
      </c>
      <c r="C12" s="27">
        <f>Overages!C13</f>
        <v>11304</v>
      </c>
      <c r="D12" s="27">
        <f>Overages!E13+Overages!M13</f>
        <v>1174</v>
      </c>
      <c r="E12" s="27">
        <f t="shared" si="5"/>
        <v>-225</v>
      </c>
      <c r="F12" s="4">
        <f>Overages!J13</f>
        <v>358</v>
      </c>
      <c r="G12" s="3">
        <f>Overages!B13</f>
        <v>591</v>
      </c>
      <c r="H12" s="5">
        <v>0.05</v>
      </c>
      <c r="I12" s="6">
        <f t="shared" si="4"/>
        <v>2.9406932807622802E-2</v>
      </c>
      <c r="J12" s="6">
        <f t="shared" si="4"/>
        <v>5.2282377919320597E-2</v>
      </c>
      <c r="K12" s="31">
        <f t="shared" si="1"/>
        <v>4.0420819490586936E-2</v>
      </c>
      <c r="L12" s="19" t="str">
        <f t="shared" si="6"/>
        <v>$0</v>
      </c>
    </row>
    <row r="13" spans="1:14" hidden="1" x14ac:dyDescent="0.3">
      <c r="A13" s="3" t="s">
        <v>17</v>
      </c>
      <c r="B13" s="3">
        <v>12174</v>
      </c>
      <c r="C13" s="27">
        <f>Overages!C14</f>
        <v>11343</v>
      </c>
      <c r="D13" s="27">
        <f>Overages!E14+Overages!M14</f>
        <v>1176</v>
      </c>
      <c r="E13" s="27">
        <f t="shared" si="5"/>
        <v>-84</v>
      </c>
      <c r="F13" s="4">
        <f>Overages!J14</f>
        <v>501</v>
      </c>
      <c r="G13" s="3">
        <f>Overages!B14</f>
        <v>591</v>
      </c>
      <c r="H13" s="5">
        <v>0.05</v>
      </c>
      <c r="I13" s="6">
        <f t="shared" si="4"/>
        <v>4.115327747658945E-2</v>
      </c>
      <c r="J13" s="6">
        <f t="shared" si="4"/>
        <v>5.2102618354932559E-2</v>
      </c>
      <c r="K13" s="31">
        <f t="shared" si="1"/>
        <v>4.6434494195688222E-2</v>
      </c>
      <c r="L13" s="19" t="str">
        <f t="shared" si="6"/>
        <v>$0</v>
      </c>
    </row>
    <row r="14" spans="1:14" hidden="1" x14ac:dyDescent="0.3">
      <c r="A14" s="3" t="s">
        <v>18</v>
      </c>
      <c r="B14" s="3">
        <v>12202</v>
      </c>
      <c r="C14" s="27">
        <f>Overages!C15</f>
        <v>11447</v>
      </c>
      <c r="D14" s="27">
        <f>Overages!E15+Overages!M15</f>
        <v>1182</v>
      </c>
      <c r="E14" s="27">
        <f t="shared" si="5"/>
        <v>-221</v>
      </c>
      <c r="F14" s="4">
        <f>Overages!J15</f>
        <v>314</v>
      </c>
      <c r="G14" s="3">
        <f>Overages!B15</f>
        <v>647</v>
      </c>
      <c r="H14" s="5">
        <v>0.05</v>
      </c>
      <c r="I14" s="6">
        <f t="shared" si="4"/>
        <v>2.5733486313719061E-2</v>
      </c>
      <c r="J14" s="6">
        <f t="shared" si="4"/>
        <v>5.6521359308115665E-2</v>
      </c>
      <c r="K14" s="31">
        <f t="shared" si="1"/>
        <v>4.063596769419426E-2</v>
      </c>
      <c r="L14" s="19" t="str">
        <f t="shared" si="6"/>
        <v>$0</v>
      </c>
    </row>
    <row r="15" spans="1:14" x14ac:dyDescent="0.3">
      <c r="A15" s="3" t="s">
        <v>8</v>
      </c>
      <c r="B15" s="3">
        <v>12202</v>
      </c>
      <c r="C15" s="27">
        <v>11728</v>
      </c>
      <c r="D15" s="27">
        <f>Overages!E16+Overages!M16</f>
        <v>1196</v>
      </c>
      <c r="E15" s="27">
        <f t="shared" ref="E15:E18" si="7">F15+G15-D15</f>
        <v>-213</v>
      </c>
      <c r="F15" s="4">
        <f>Overages!J16</f>
        <v>276</v>
      </c>
      <c r="G15" s="3">
        <f>Overages!B16</f>
        <v>707</v>
      </c>
      <c r="H15" s="5">
        <v>0.05</v>
      </c>
      <c r="I15" s="6">
        <f t="shared" ref="I15:I18" si="8">F15/B15</f>
        <v>2.2619242747090641E-2</v>
      </c>
      <c r="J15" s="6">
        <f t="shared" ref="J15:J18" si="9">G15/C15</f>
        <v>6.0283083219645296E-2</v>
      </c>
      <c r="K15" s="31">
        <f t="shared" ref="K15:K18" si="10">(G15+F15)/(C15+B15)</f>
        <v>4.1078144588382784E-2</v>
      </c>
      <c r="L15" s="19" t="str">
        <f t="shared" ref="L15:L27" si="11">IF(E15&lt;0,"$0",(E15*39))</f>
        <v>$0</v>
      </c>
    </row>
    <row r="16" spans="1:14" x14ac:dyDescent="0.3">
      <c r="A16" s="3" t="s">
        <v>9</v>
      </c>
      <c r="B16" s="3">
        <v>12202</v>
      </c>
      <c r="C16" s="27">
        <v>11842</v>
      </c>
      <c r="D16" s="27">
        <f>Overages!E17+Overages!M17</f>
        <v>1202</v>
      </c>
      <c r="E16" s="27">
        <f t="shared" si="7"/>
        <v>-263</v>
      </c>
      <c r="F16" s="4">
        <f>Overages!J17</f>
        <v>226</v>
      </c>
      <c r="G16" s="3">
        <f>Overages!B17</f>
        <v>713</v>
      </c>
      <c r="H16" s="5">
        <v>0.05</v>
      </c>
      <c r="I16" s="6">
        <f t="shared" si="8"/>
        <v>1.8521553843632192E-2</v>
      </c>
      <c r="J16" s="6">
        <f t="shared" si="9"/>
        <v>6.0209424083769635E-2</v>
      </c>
      <c r="K16" s="31">
        <f t="shared" si="10"/>
        <v>3.9053402096157049E-2</v>
      </c>
      <c r="L16" s="19" t="str">
        <f t="shared" si="11"/>
        <v>$0</v>
      </c>
    </row>
    <row r="17" spans="1:12" x14ac:dyDescent="0.3">
      <c r="A17" s="3" t="s">
        <v>10</v>
      </c>
      <c r="B17" s="3">
        <v>12202</v>
      </c>
      <c r="C17" s="27">
        <v>12136</v>
      </c>
      <c r="D17" s="27">
        <f>Overages!E18+Overages!M18</f>
        <v>1217</v>
      </c>
      <c r="E17" s="27">
        <f t="shared" si="7"/>
        <v>-217</v>
      </c>
      <c r="F17" s="4">
        <f>Overages!J18</f>
        <v>156</v>
      </c>
      <c r="G17" s="3">
        <f>Overages!B18</f>
        <v>844</v>
      </c>
      <c r="H17" s="5">
        <v>0.05</v>
      </c>
      <c r="I17" s="6">
        <f t="shared" si="8"/>
        <v>1.2784789378790361E-2</v>
      </c>
      <c r="J17" s="6">
        <f t="shared" si="9"/>
        <v>6.9545154911008572E-2</v>
      </c>
      <c r="K17" s="31">
        <f t="shared" si="10"/>
        <v>4.1088010518530692E-2</v>
      </c>
      <c r="L17" s="19" t="str">
        <f t="shared" si="11"/>
        <v>$0</v>
      </c>
    </row>
    <row r="18" spans="1:12" x14ac:dyDescent="0.3">
      <c r="A18" s="3" t="s">
        <v>11</v>
      </c>
      <c r="B18" s="3">
        <v>12202</v>
      </c>
      <c r="C18" s="27">
        <v>12306</v>
      </c>
      <c r="D18" s="27">
        <f>Overages!E19+Overages!M19</f>
        <v>1225</v>
      </c>
      <c r="E18" s="27">
        <f t="shared" si="7"/>
        <v>-266</v>
      </c>
      <c r="F18" s="4">
        <f>Overages!J19</f>
        <v>135</v>
      </c>
      <c r="G18" s="3">
        <f>Overages!B19</f>
        <v>824</v>
      </c>
      <c r="H18" s="5">
        <v>0.05</v>
      </c>
      <c r="I18" s="6">
        <f t="shared" si="8"/>
        <v>1.1063760039337813E-2</v>
      </c>
      <c r="J18" s="6">
        <f t="shared" si="9"/>
        <v>6.6959206890947504E-2</v>
      </c>
      <c r="K18" s="31">
        <f t="shared" si="10"/>
        <v>3.9130079973886081E-2</v>
      </c>
      <c r="L18" s="19" t="str">
        <f t="shared" si="11"/>
        <v>$0</v>
      </c>
    </row>
    <row r="19" spans="1:12" x14ac:dyDescent="0.3">
      <c r="A19" s="3" t="s">
        <v>12</v>
      </c>
      <c r="B19" s="3">
        <v>12202</v>
      </c>
      <c r="C19" s="27">
        <f>Overages!C20</f>
        <v>12601</v>
      </c>
      <c r="D19" s="27">
        <f>Overages!E20+Overages!M20</f>
        <v>1240</v>
      </c>
      <c r="E19" s="27">
        <f t="shared" ref="E19" si="12">F19+G19-D19</f>
        <v>-325</v>
      </c>
      <c r="F19" s="4">
        <f>Overages!J20</f>
        <v>179</v>
      </c>
      <c r="G19" s="3">
        <f>Overages!B20</f>
        <v>736</v>
      </c>
      <c r="H19" s="5">
        <v>0.05</v>
      </c>
      <c r="I19" s="6">
        <f t="shared" ref="I19" si="13">F19/B19</f>
        <v>1.466972627438125E-2</v>
      </c>
      <c r="J19" s="6">
        <f t="shared" ref="J19" si="14">G19/C19</f>
        <v>5.8408062852154594E-2</v>
      </c>
      <c r="K19" s="31">
        <f t="shared" ref="K19" si="15">(G19+F19)/(C19+B19)</f>
        <v>3.6890698705801715E-2</v>
      </c>
      <c r="L19" s="19" t="str">
        <f t="shared" si="11"/>
        <v>$0</v>
      </c>
    </row>
    <row r="20" spans="1:12" x14ac:dyDescent="0.3">
      <c r="A20" s="3" t="s">
        <v>28</v>
      </c>
      <c r="B20" s="3">
        <f>Overages!K21</f>
        <v>13060</v>
      </c>
      <c r="C20" s="27">
        <f>Overages!C21</f>
        <v>12740</v>
      </c>
      <c r="D20" s="27">
        <f>Overages!E21+Overages!M21</f>
        <v>1290</v>
      </c>
      <c r="E20" s="27">
        <f t="shared" ref="E20:E26" si="16">F20+G20-D20</f>
        <v>-71</v>
      </c>
      <c r="F20" s="4">
        <f>Overages!J21</f>
        <v>264</v>
      </c>
      <c r="G20" s="3">
        <f>Overages!B21</f>
        <v>955</v>
      </c>
      <c r="H20" s="5">
        <v>0.05</v>
      </c>
      <c r="I20" s="6">
        <f t="shared" ref="I20:I26" si="17">F20/B20</f>
        <v>2.021439509954058E-2</v>
      </c>
      <c r="J20" s="6">
        <f t="shared" ref="J20:J26" si="18">G20/C20</f>
        <v>7.4960753532182109E-2</v>
      </c>
      <c r="K20" s="31">
        <f t="shared" ref="K20:K26" si="19">(G20+F20)/(C20+B20)</f>
        <v>4.7248062015503876E-2</v>
      </c>
      <c r="L20" s="19" t="str">
        <f t="shared" si="11"/>
        <v>$0</v>
      </c>
    </row>
    <row r="21" spans="1:12" x14ac:dyDescent="0.3">
      <c r="A21" s="3" t="s">
        <v>117</v>
      </c>
      <c r="B21" s="3">
        <f>Overages!K22</f>
        <v>13060</v>
      </c>
      <c r="C21" s="27">
        <f>Overages!C22</f>
        <v>12936</v>
      </c>
      <c r="D21" s="27">
        <f>Overages!E22+Overages!M22</f>
        <v>1300</v>
      </c>
      <c r="E21" s="27">
        <f t="shared" si="16"/>
        <v>225</v>
      </c>
      <c r="F21" s="4">
        <f>Overages!J22</f>
        <v>582</v>
      </c>
      <c r="G21" s="3">
        <f>Overages!B22</f>
        <v>943</v>
      </c>
      <c r="H21" s="5">
        <v>0.05</v>
      </c>
      <c r="I21" s="6">
        <f t="shared" si="17"/>
        <v>4.4563552833078099E-2</v>
      </c>
      <c r="J21" s="6">
        <f t="shared" si="18"/>
        <v>7.2897340754483606E-2</v>
      </c>
      <c r="K21" s="31">
        <f t="shared" si="19"/>
        <v>5.8662871210955529E-2</v>
      </c>
      <c r="L21" s="19">
        <f t="shared" si="11"/>
        <v>8775</v>
      </c>
    </row>
    <row r="22" spans="1:12" x14ac:dyDescent="0.3">
      <c r="A22" s="3" t="s">
        <v>14</v>
      </c>
      <c r="B22" s="3">
        <f>Overages!K23</f>
        <v>13060</v>
      </c>
      <c r="C22" s="27">
        <v>13079</v>
      </c>
      <c r="D22" s="27">
        <f>Overages!E23+Overages!M23</f>
        <v>1307</v>
      </c>
      <c r="E22" s="27">
        <f t="shared" si="16"/>
        <v>-41</v>
      </c>
      <c r="F22" s="4">
        <f>Overages!J23</f>
        <v>494</v>
      </c>
      <c r="G22" s="3">
        <f>Overages!B23</f>
        <v>772</v>
      </c>
      <c r="H22" s="5">
        <v>0.05</v>
      </c>
      <c r="I22" s="6">
        <f t="shared" si="17"/>
        <v>3.7825421133231243E-2</v>
      </c>
      <c r="J22" s="6">
        <f t="shared" si="18"/>
        <v>5.9025919412799145E-2</v>
      </c>
      <c r="K22" s="31">
        <f t="shared" si="19"/>
        <v>4.8433375416044991E-2</v>
      </c>
      <c r="L22" s="19" t="str">
        <f t="shared" si="11"/>
        <v>$0</v>
      </c>
    </row>
    <row r="23" spans="1:12" x14ac:dyDescent="0.3">
      <c r="A23" s="3" t="s">
        <v>15</v>
      </c>
      <c r="B23" s="3">
        <f>Overages!K24</f>
        <v>13060</v>
      </c>
      <c r="C23" s="27">
        <f>Overages!C24</f>
        <v>13515</v>
      </c>
      <c r="D23" s="27">
        <f>Overages!E24+Overages!M24</f>
        <v>1329</v>
      </c>
      <c r="E23" s="27">
        <f t="shared" si="16"/>
        <v>20</v>
      </c>
      <c r="F23" s="4">
        <f>Overages!J24</f>
        <v>493</v>
      </c>
      <c r="G23" s="3">
        <f>Overages!B24</f>
        <v>856</v>
      </c>
      <c r="H23" s="5">
        <v>0.05</v>
      </c>
      <c r="I23" s="6">
        <f t="shared" si="17"/>
        <v>3.7748851454823887E-2</v>
      </c>
      <c r="J23" s="6">
        <f t="shared" si="18"/>
        <v>6.3337032926378101E-2</v>
      </c>
      <c r="K23" s="31">
        <f t="shared" si="19"/>
        <v>5.0761994355597369E-2</v>
      </c>
      <c r="L23" s="19">
        <f t="shared" si="11"/>
        <v>780</v>
      </c>
    </row>
    <row r="24" spans="1:12" x14ac:dyDescent="0.3">
      <c r="A24" s="3" t="s">
        <v>16</v>
      </c>
      <c r="B24" s="3">
        <f>Overages!K25</f>
        <v>13060</v>
      </c>
      <c r="C24" s="27">
        <f>Overages!C25</f>
        <v>13652</v>
      </c>
      <c r="D24" s="27">
        <f>Overages!E25+Overages!M25</f>
        <v>1336</v>
      </c>
      <c r="E24" s="27">
        <f t="shared" si="16"/>
        <v>-136</v>
      </c>
      <c r="F24" s="4">
        <f>Overages!J25</f>
        <v>445</v>
      </c>
      <c r="G24" s="3">
        <f>Overages!B25</f>
        <v>755</v>
      </c>
      <c r="H24" s="5">
        <v>0.05</v>
      </c>
      <c r="I24" s="6">
        <f t="shared" si="17"/>
        <v>3.4073506891271053E-2</v>
      </c>
      <c r="J24" s="6">
        <f t="shared" si="18"/>
        <v>5.5303252270729561E-2</v>
      </c>
      <c r="K24" s="31">
        <f t="shared" si="19"/>
        <v>4.4923629829290206E-2</v>
      </c>
      <c r="L24" s="19" t="str">
        <f t="shared" si="11"/>
        <v>$0</v>
      </c>
    </row>
    <row r="25" spans="1:12" x14ac:dyDescent="0.3">
      <c r="A25" s="3" t="s">
        <v>17</v>
      </c>
      <c r="B25" s="3">
        <f>Overages!K26</f>
        <v>13060</v>
      </c>
      <c r="C25" s="27">
        <f>Overages!C26</f>
        <v>13886</v>
      </c>
      <c r="D25" s="27">
        <f>Overages!E26+Overages!M26</f>
        <v>1347</v>
      </c>
      <c r="E25" s="27">
        <f t="shared" si="16"/>
        <v>237</v>
      </c>
      <c r="F25" s="4">
        <f>Overages!J26</f>
        <v>743</v>
      </c>
      <c r="G25" s="3">
        <f>Overages!B26</f>
        <v>841</v>
      </c>
      <c r="H25" s="5">
        <v>0.05</v>
      </c>
      <c r="I25" s="6">
        <f t="shared" si="17"/>
        <v>5.6891271056661565E-2</v>
      </c>
      <c r="J25" s="6">
        <f t="shared" si="18"/>
        <v>6.0564597436266743E-2</v>
      </c>
      <c r="K25" s="31">
        <f t="shared" si="19"/>
        <v>5.8784235136940546E-2</v>
      </c>
      <c r="L25" s="19">
        <f t="shared" si="11"/>
        <v>9243</v>
      </c>
    </row>
    <row r="26" spans="1:12" x14ac:dyDescent="0.3">
      <c r="A26" s="3" t="s">
        <v>18</v>
      </c>
      <c r="B26" s="3">
        <f>Overages!K27</f>
        <v>13060</v>
      </c>
      <c r="C26" s="27">
        <f>Overages!C27</f>
        <v>14160</v>
      </c>
      <c r="D26" s="27">
        <f>Overages!E27+Overages!M27</f>
        <v>1361</v>
      </c>
      <c r="E26" s="27">
        <f t="shared" si="16"/>
        <v>100</v>
      </c>
      <c r="F26" s="4">
        <f>Overages!J27</f>
        <v>506</v>
      </c>
      <c r="G26" s="3">
        <f>Overages!B27</f>
        <v>955</v>
      </c>
      <c r="H26" s="5">
        <v>0.05</v>
      </c>
      <c r="I26" s="6">
        <f t="shared" si="17"/>
        <v>3.8744257274119447E-2</v>
      </c>
      <c r="J26" s="6">
        <f t="shared" si="18"/>
        <v>6.7443502824858753E-2</v>
      </c>
      <c r="K26" s="31">
        <f t="shared" si="19"/>
        <v>5.3673769287288758E-2</v>
      </c>
      <c r="L26" s="19">
        <f t="shared" si="11"/>
        <v>3900</v>
      </c>
    </row>
    <row r="27" spans="1:12" x14ac:dyDescent="0.3">
      <c r="A27" s="3" t="s">
        <v>8</v>
      </c>
      <c r="B27" s="3">
        <f>Overages!K28</f>
        <v>14400</v>
      </c>
      <c r="C27" s="27">
        <f>Overages!C28</f>
        <v>14247</v>
      </c>
      <c r="D27" s="27">
        <f>Overages!E28+Overages!M28</f>
        <v>1432</v>
      </c>
      <c r="E27" s="27">
        <f t="shared" ref="E27:E38" si="20">F27+G27-D27</f>
        <v>-10</v>
      </c>
      <c r="F27" s="4">
        <f>Overages!J28</f>
        <v>567</v>
      </c>
      <c r="G27" s="3">
        <f>Overages!B28</f>
        <v>855</v>
      </c>
      <c r="H27" s="5">
        <v>0.05</v>
      </c>
      <c r="I27" s="6">
        <f t="shared" ref="I27" si="21">F27/B27</f>
        <v>3.9375E-2</v>
      </c>
      <c r="J27" s="6">
        <f t="shared" ref="J27" si="22">G27/C27</f>
        <v>6.001263423878711E-2</v>
      </c>
      <c r="K27" s="31">
        <f t="shared" ref="K27" si="23">(G27+F27)/(C27+B27)</f>
        <v>4.9638705623625511E-2</v>
      </c>
      <c r="L27" s="19" t="str">
        <f t="shared" si="11"/>
        <v>$0</v>
      </c>
    </row>
    <row r="28" spans="1:12" x14ac:dyDescent="0.3">
      <c r="A28" s="3" t="s">
        <v>9</v>
      </c>
      <c r="B28" s="3">
        <f>Overages!K29</f>
        <v>14400</v>
      </c>
      <c r="C28" s="27">
        <f>Overages!C29</f>
        <v>14579</v>
      </c>
      <c r="D28" s="27">
        <f>Overages!E29+Overages!M29</f>
        <v>1449</v>
      </c>
      <c r="E28" s="27">
        <f t="shared" si="20"/>
        <v>93</v>
      </c>
      <c r="F28" s="4">
        <f>Overages!J29</f>
        <v>659</v>
      </c>
      <c r="G28" s="3">
        <f>Overages!B29</f>
        <v>883</v>
      </c>
      <c r="H28" s="5">
        <v>0.05</v>
      </c>
      <c r="I28" s="6">
        <f t="shared" ref="I28:I38" si="24">F28/B28</f>
        <v>4.5763888888888889E-2</v>
      </c>
      <c r="J28" s="6">
        <f t="shared" ref="J28:J38" si="25">G28/C28</f>
        <v>6.0566568351738799E-2</v>
      </c>
      <c r="K28" s="31">
        <f t="shared" ref="K28:K38" si="26">(G28+F28)/(C28+B28)</f>
        <v>5.3210945857344975E-2</v>
      </c>
      <c r="L28" s="19">
        <f t="shared" ref="L28:L38" si="27">IF(E28&lt;0,"$0",(E28*39))</f>
        <v>3627</v>
      </c>
    </row>
    <row r="29" spans="1:12" x14ac:dyDescent="0.3">
      <c r="A29" s="3" t="s">
        <v>10</v>
      </c>
      <c r="B29" s="3">
        <f>Overages!K30</f>
        <v>14400</v>
      </c>
      <c r="C29" s="27">
        <f>Overages!C30</f>
        <v>14831</v>
      </c>
      <c r="D29" s="27">
        <f>Overages!E30+Overages!M30</f>
        <v>1462</v>
      </c>
      <c r="E29" s="27">
        <f t="shared" si="20"/>
        <v>-5</v>
      </c>
      <c r="F29" s="4">
        <f>Overages!J30</f>
        <v>585</v>
      </c>
      <c r="G29" s="3">
        <f>Overages!B30</f>
        <v>872</v>
      </c>
      <c r="H29" s="5">
        <v>0.05</v>
      </c>
      <c r="I29" s="6">
        <f t="shared" si="24"/>
        <v>4.0625000000000001E-2</v>
      </c>
      <c r="J29" s="6">
        <f t="shared" si="25"/>
        <v>5.8795765626053535E-2</v>
      </c>
      <c r="K29" s="50">
        <f>(F29+G29)/(B29+C29)</f>
        <v>4.9844343334131576E-2</v>
      </c>
      <c r="L29" s="19" t="str">
        <f t="shared" si="27"/>
        <v>$0</v>
      </c>
    </row>
    <row r="30" spans="1:12" x14ac:dyDescent="0.3">
      <c r="A30" s="3" t="s">
        <v>11</v>
      </c>
      <c r="B30" s="3">
        <f>Overages!K31</f>
        <v>14400</v>
      </c>
      <c r="C30" s="27">
        <f>Overages!C31</f>
        <v>15033</v>
      </c>
      <c r="D30" s="27">
        <f>Overages!E31+Overages!M31</f>
        <v>1472</v>
      </c>
      <c r="E30" s="27">
        <f t="shared" si="20"/>
        <v>116</v>
      </c>
      <c r="F30" s="4">
        <f>Overages!J31</f>
        <v>614</v>
      </c>
      <c r="G30" s="3">
        <f>Overages!B31</f>
        <v>974</v>
      </c>
      <c r="H30" s="5">
        <v>0.05</v>
      </c>
      <c r="I30" s="6">
        <f t="shared" si="24"/>
        <v>4.2638888888888886E-2</v>
      </c>
      <c r="J30" s="6">
        <f t="shared" si="25"/>
        <v>6.4790793587440956E-2</v>
      </c>
      <c r="K30" s="31">
        <f t="shared" si="26"/>
        <v>5.3953045900859579E-2</v>
      </c>
      <c r="L30" s="19">
        <f t="shared" si="27"/>
        <v>4524</v>
      </c>
    </row>
    <row r="31" spans="1:12" x14ac:dyDescent="0.3">
      <c r="A31" s="3" t="s">
        <v>12</v>
      </c>
      <c r="B31" s="3">
        <f>Overages!K32</f>
        <v>14400</v>
      </c>
      <c r="C31" s="27">
        <f>Overages!C32</f>
        <v>15194</v>
      </c>
      <c r="D31" s="27">
        <f>Overages!E32+Overages!M32</f>
        <v>1480</v>
      </c>
      <c r="E31" s="27">
        <f t="shared" si="20"/>
        <v>317</v>
      </c>
      <c r="F31" s="4">
        <f>Overages!J32</f>
        <v>784</v>
      </c>
      <c r="G31" s="3">
        <f>Overages!B32</f>
        <v>1013</v>
      </c>
      <c r="H31" s="5">
        <v>0.05</v>
      </c>
      <c r="I31" s="6">
        <f t="shared" si="24"/>
        <v>5.4444444444444441E-2</v>
      </c>
      <c r="J31" s="6">
        <f t="shared" si="25"/>
        <v>6.6671054363564561E-2</v>
      </c>
      <c r="K31" s="31">
        <f t="shared" si="26"/>
        <v>6.0721767925930932E-2</v>
      </c>
      <c r="L31" s="19">
        <f t="shared" si="27"/>
        <v>12363</v>
      </c>
    </row>
    <row r="32" spans="1:12" x14ac:dyDescent="0.3">
      <c r="A32" s="3" t="s">
        <v>28</v>
      </c>
      <c r="B32" s="3">
        <f>Overages!K33</f>
        <v>14400</v>
      </c>
      <c r="C32" s="27">
        <f>Overages!C33</f>
        <v>15471</v>
      </c>
      <c r="D32" s="27">
        <f>Overages!E33+Overages!M33</f>
        <v>1494</v>
      </c>
      <c r="E32" s="27">
        <f t="shared" si="20"/>
        <v>338</v>
      </c>
      <c r="F32" s="4">
        <f>Overages!J33</f>
        <v>831</v>
      </c>
      <c r="G32" s="3">
        <f>Overages!B33</f>
        <v>1001</v>
      </c>
      <c r="H32" s="5">
        <v>0.05</v>
      </c>
      <c r="I32" s="6">
        <f t="shared" si="24"/>
        <v>5.7708333333333334E-2</v>
      </c>
      <c r="J32" s="6">
        <f t="shared" si="25"/>
        <v>6.4701699954754055E-2</v>
      </c>
      <c r="K32" s="31">
        <f t="shared" si="26"/>
        <v>6.1330387332195105E-2</v>
      </c>
      <c r="L32" s="19">
        <f t="shared" si="27"/>
        <v>13182</v>
      </c>
    </row>
    <row r="33" spans="1:12" x14ac:dyDescent="0.3">
      <c r="A33" s="3" t="s">
        <v>117</v>
      </c>
      <c r="B33" s="3">
        <f>Overages!K34</f>
        <v>14400</v>
      </c>
      <c r="C33" s="27">
        <f>Overages!C34</f>
        <v>15926</v>
      </c>
      <c r="D33" s="27">
        <f>Overages!E34+Overages!M34</f>
        <v>1516</v>
      </c>
      <c r="E33" s="27">
        <f t="shared" si="20"/>
        <v>596</v>
      </c>
      <c r="F33" s="4">
        <f>Overages!J34</f>
        <v>849</v>
      </c>
      <c r="G33" s="3">
        <f>Overages!B34</f>
        <v>1263</v>
      </c>
      <c r="H33" s="5">
        <v>0.05</v>
      </c>
      <c r="I33" s="6">
        <f t="shared" si="24"/>
        <v>5.8958333333333335E-2</v>
      </c>
      <c r="J33" s="6">
        <f t="shared" si="25"/>
        <v>7.9304282305663693E-2</v>
      </c>
      <c r="K33" s="50">
        <f t="shared" si="26"/>
        <v>6.9643210446481571E-2</v>
      </c>
      <c r="L33" s="19">
        <f t="shared" si="27"/>
        <v>23244</v>
      </c>
    </row>
    <row r="34" spans="1:12" x14ac:dyDescent="0.3">
      <c r="A34" s="3" t="s">
        <v>14</v>
      </c>
      <c r="B34" s="3">
        <f>Overages!K35</f>
        <v>14400</v>
      </c>
      <c r="C34" s="27">
        <f>Overages!C35</f>
        <v>16151</v>
      </c>
      <c r="D34" s="27">
        <f>Overages!E35+Overages!M35</f>
        <v>1528</v>
      </c>
      <c r="E34" s="27">
        <f t="shared" si="20"/>
        <v>453</v>
      </c>
      <c r="F34" s="4">
        <f>Overages!J35</f>
        <v>707</v>
      </c>
      <c r="G34" s="3">
        <f>Overages!B35</f>
        <v>1274</v>
      </c>
      <c r="H34" s="5">
        <v>0.05</v>
      </c>
      <c r="I34" s="6">
        <f t="shared" si="24"/>
        <v>4.9097222222222223E-2</v>
      </c>
      <c r="J34" s="6">
        <f t="shared" si="25"/>
        <v>7.888056467091821E-2</v>
      </c>
      <c r="K34" s="31">
        <f t="shared" si="26"/>
        <v>6.4842394684298379E-2</v>
      </c>
      <c r="L34" s="19">
        <f t="shared" si="27"/>
        <v>17667</v>
      </c>
    </row>
    <row r="35" spans="1:12" x14ac:dyDescent="0.3">
      <c r="A35" s="3" t="s">
        <v>15</v>
      </c>
      <c r="B35" s="3">
        <f>Overages!K36</f>
        <v>14400</v>
      </c>
      <c r="C35" s="27">
        <f>Overages!C36</f>
        <v>16354</v>
      </c>
      <c r="D35" s="27">
        <f>Overages!E36+Overages!M36</f>
        <v>1538</v>
      </c>
      <c r="E35" s="27">
        <f t="shared" si="20"/>
        <v>430</v>
      </c>
      <c r="F35" s="4">
        <f>Overages!J36</f>
        <v>829</v>
      </c>
      <c r="G35" s="3">
        <f>Overages!B36</f>
        <v>1139</v>
      </c>
      <c r="H35" s="5">
        <v>0.05</v>
      </c>
      <c r="I35" s="6">
        <f t="shared" si="24"/>
        <v>5.7569444444444444E-2</v>
      </c>
      <c r="J35" s="6">
        <f t="shared" si="25"/>
        <v>6.964656964656965E-2</v>
      </c>
      <c r="K35" s="31">
        <f t="shared" si="26"/>
        <v>6.3991675879560381E-2</v>
      </c>
      <c r="L35" s="19">
        <f t="shared" si="27"/>
        <v>16770</v>
      </c>
    </row>
    <row r="36" spans="1:12" x14ac:dyDescent="0.3">
      <c r="A36" s="3" t="s">
        <v>16</v>
      </c>
      <c r="B36" s="3">
        <f>Overages!K37</f>
        <v>14400</v>
      </c>
      <c r="C36" s="27">
        <f>Overages!C37</f>
        <v>16354</v>
      </c>
      <c r="D36" s="27">
        <f>Overages!E37+Overages!M37</f>
        <v>1538</v>
      </c>
      <c r="E36" s="27">
        <f t="shared" si="20"/>
        <v>-457</v>
      </c>
      <c r="F36" s="4">
        <f>Overages!J37</f>
        <v>226</v>
      </c>
      <c r="G36" s="3">
        <f>Overages!B37</f>
        <v>855</v>
      </c>
      <c r="H36" s="5">
        <v>0.05</v>
      </c>
      <c r="I36" s="6">
        <f t="shared" si="24"/>
        <v>1.5694444444444445E-2</v>
      </c>
      <c r="J36" s="6">
        <f t="shared" si="25"/>
        <v>5.2280787574905223E-2</v>
      </c>
      <c r="K36" s="31">
        <f t="shared" si="26"/>
        <v>3.514989920010405E-2</v>
      </c>
      <c r="L36" s="19" t="str">
        <f t="shared" si="27"/>
        <v>$0</v>
      </c>
    </row>
    <row r="37" spans="1:12" x14ac:dyDescent="0.3">
      <c r="A37" s="3" t="s">
        <v>17</v>
      </c>
      <c r="B37" s="3">
        <f>Overages!K38</f>
        <v>0</v>
      </c>
      <c r="C37" s="27">
        <f>Overages!C38</f>
        <v>0</v>
      </c>
      <c r="D37" s="27">
        <f>Overages!E38+Overages!M38</f>
        <v>0</v>
      </c>
      <c r="E37" s="27">
        <f t="shared" si="20"/>
        <v>0</v>
      </c>
      <c r="F37" s="4">
        <f>Overages!J38</f>
        <v>0</v>
      </c>
      <c r="G37" s="3">
        <f>Overages!B38</f>
        <v>0</v>
      </c>
      <c r="H37" s="5">
        <v>0.05</v>
      </c>
      <c r="I37" s="6" t="e">
        <f t="shared" si="24"/>
        <v>#DIV/0!</v>
      </c>
      <c r="J37" s="6" t="e">
        <f t="shared" si="25"/>
        <v>#DIV/0!</v>
      </c>
      <c r="K37" s="31" t="e">
        <f t="shared" si="26"/>
        <v>#DIV/0!</v>
      </c>
      <c r="L37" s="19">
        <f t="shared" si="27"/>
        <v>0</v>
      </c>
    </row>
    <row r="38" spans="1:12" x14ac:dyDescent="0.3">
      <c r="A38" s="3" t="s">
        <v>18</v>
      </c>
      <c r="B38" s="3">
        <f>Overages!K39</f>
        <v>0</v>
      </c>
      <c r="C38" s="27">
        <f>Overages!C39</f>
        <v>0</v>
      </c>
      <c r="D38" s="27">
        <f>Overages!E39+Overages!M39</f>
        <v>0</v>
      </c>
      <c r="E38" s="27">
        <f t="shared" si="20"/>
        <v>0</v>
      </c>
      <c r="F38" s="4">
        <f>Overages!J39</f>
        <v>0</v>
      </c>
      <c r="G38" s="3">
        <f>Overages!B39</f>
        <v>0</v>
      </c>
      <c r="H38" s="5">
        <v>0.05</v>
      </c>
      <c r="I38" s="6" t="e">
        <f t="shared" si="24"/>
        <v>#DIV/0!</v>
      </c>
      <c r="J38" s="6" t="e">
        <f t="shared" si="25"/>
        <v>#DIV/0!</v>
      </c>
      <c r="K38" s="31" t="e">
        <f t="shared" si="26"/>
        <v>#DIV/0!</v>
      </c>
      <c r="L38" s="19">
        <f t="shared" si="27"/>
        <v>0</v>
      </c>
    </row>
    <row r="39" spans="1:12" x14ac:dyDescent="0.3">
      <c r="A39" s="70" t="s">
        <v>27</v>
      </c>
      <c r="B39" s="70"/>
      <c r="C39" s="70"/>
      <c r="D39" s="34"/>
      <c r="E39" s="34"/>
      <c r="F39" s="47">
        <f>SUM(F15:F26)</f>
        <v>4499</v>
      </c>
      <c r="G39" s="7">
        <f>SUM(G15:G26)</f>
        <v>9901</v>
      </c>
      <c r="H39" s="8"/>
      <c r="I39" s="9">
        <f>AVERAGE(I15:I26)</f>
        <v>2.9143360668829842E-2</v>
      </c>
      <c r="J39" s="9">
        <f>AVERAGE(J15:J26)</f>
        <v>6.4078110926268639E-2</v>
      </c>
      <c r="K39" s="9">
        <f>AVERAGE(K15:K26)</f>
        <v>4.6644022761198299E-2</v>
      </c>
    </row>
    <row r="40" spans="1:12" x14ac:dyDescent="0.3">
      <c r="A40" s="10"/>
    </row>
    <row r="41" spans="1:12" x14ac:dyDescent="0.3">
      <c r="A41"/>
      <c r="B41"/>
      <c r="C41"/>
      <c r="D41"/>
      <c r="E41"/>
      <c r="H41"/>
    </row>
    <row r="42" spans="1:12" x14ac:dyDescent="0.3">
      <c r="A42"/>
      <c r="B42"/>
      <c r="C42"/>
      <c r="D42"/>
      <c r="E42"/>
      <c r="H42"/>
    </row>
    <row r="43" spans="1:12" x14ac:dyDescent="0.3">
      <c r="A43"/>
      <c r="B43"/>
      <c r="C43"/>
      <c r="D43"/>
      <c r="E43"/>
      <c r="H43"/>
    </row>
    <row r="44" spans="1:12" x14ac:dyDescent="0.3">
      <c r="A44"/>
      <c r="B44"/>
      <c r="C44"/>
      <c r="D44"/>
      <c r="E44"/>
      <c r="H44"/>
    </row>
    <row r="45" spans="1:12" x14ac:dyDescent="0.3">
      <c r="A45"/>
      <c r="B45"/>
      <c r="C45"/>
      <c r="D45"/>
      <c r="E45"/>
      <c r="H45"/>
    </row>
    <row r="46" spans="1:12" x14ac:dyDescent="0.3">
      <c r="A46"/>
      <c r="B46"/>
      <c r="C46"/>
      <c r="D46"/>
      <c r="E46"/>
      <c r="H46"/>
    </row>
    <row r="47" spans="1:12" x14ac:dyDescent="0.3">
      <c r="A47"/>
      <c r="B47"/>
      <c r="C47"/>
      <c r="D47"/>
      <c r="E47"/>
    </row>
    <row r="48" spans="1:12" x14ac:dyDescent="0.3">
      <c r="A48"/>
      <c r="B48"/>
      <c r="C48"/>
      <c r="D48"/>
      <c r="E48"/>
    </row>
    <row r="49" spans="1:5" x14ac:dyDescent="0.3">
      <c r="A49"/>
      <c r="B49"/>
      <c r="C49"/>
      <c r="D49"/>
      <c r="E49"/>
    </row>
    <row r="50" spans="1:5" x14ac:dyDescent="0.3">
      <c r="A50"/>
      <c r="B50"/>
      <c r="C50"/>
      <c r="D50"/>
      <c r="E50"/>
    </row>
    <row r="51" spans="1:5" x14ac:dyDescent="0.3">
      <c r="A51"/>
      <c r="B51"/>
      <c r="C51"/>
      <c r="D51"/>
      <c r="E51"/>
    </row>
    <row r="52" spans="1:5" x14ac:dyDescent="0.3">
      <c r="A52"/>
      <c r="B52"/>
      <c r="C52"/>
      <c r="D52"/>
      <c r="E52"/>
    </row>
    <row r="53" spans="1:5" x14ac:dyDescent="0.3">
      <c r="A53"/>
      <c r="B53"/>
      <c r="C53"/>
      <c r="D53"/>
      <c r="E53"/>
    </row>
    <row r="54" spans="1:5" x14ac:dyDescent="0.3">
      <c r="A54"/>
      <c r="B54"/>
      <c r="C54"/>
      <c r="D54"/>
      <c r="E54"/>
    </row>
    <row r="55" spans="1:5" x14ac:dyDescent="0.3">
      <c r="A55"/>
      <c r="B55"/>
      <c r="C55"/>
      <c r="D55"/>
      <c r="E55"/>
    </row>
    <row r="56" spans="1:5" x14ac:dyDescent="0.3">
      <c r="A56"/>
      <c r="B56"/>
      <c r="C56"/>
      <c r="D56"/>
      <c r="E56"/>
    </row>
  </sheetData>
  <mergeCells count="1">
    <mergeCell ref="A39:C39"/>
  </mergeCells>
  <phoneticPr fontId="13" type="noConversion"/>
  <pageMargins left="0.7" right="0.7" top="0.75" bottom="0.75" header="0.3" footer="0.3"/>
  <drawing r:id="rId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E69EC62-E8DA-45F3-9DBE-41001F375202}">
  <sheetPr>
    <tabColor rgb="FFFF0000"/>
  </sheetPr>
  <dimension ref="A1:G56"/>
  <sheetViews>
    <sheetView topLeftCell="A24" zoomScaleNormal="100" workbookViewId="0">
      <selection activeCell="E36" sqref="E36"/>
    </sheetView>
  </sheetViews>
  <sheetFormatPr defaultRowHeight="15.05" x14ac:dyDescent="0.3"/>
  <cols>
    <col min="1" max="1" width="7" style="11" bestFit="1" customWidth="1"/>
    <col min="2" max="2" width="11" style="11" bestFit="1" customWidth="1"/>
    <col min="3" max="3" width="16.5546875" customWidth="1"/>
    <col min="4" max="4" width="11.33203125" style="11" bestFit="1" customWidth="1"/>
    <col min="5" max="5" width="13.44140625" style="11" customWidth="1"/>
    <col min="6" max="6" width="10" customWidth="1"/>
    <col min="7" max="8" width="9.109375" customWidth="1"/>
    <col min="9" max="9" width="12" bestFit="1" customWidth="1"/>
    <col min="10" max="10" width="7.33203125" bestFit="1" customWidth="1"/>
    <col min="11" max="11" width="10" bestFit="1" customWidth="1"/>
    <col min="12" max="12" width="11.33203125" bestFit="1" customWidth="1"/>
  </cols>
  <sheetData>
    <row r="1" spans="1:7" ht="33.85" customHeight="1" x14ac:dyDescent="0.3">
      <c r="A1" s="1" t="s">
        <v>3</v>
      </c>
      <c r="B1" s="1" t="s">
        <v>30</v>
      </c>
      <c r="C1" s="1" t="s">
        <v>35</v>
      </c>
      <c r="D1" s="1" t="s">
        <v>97</v>
      </c>
      <c r="E1" s="1" t="s">
        <v>34</v>
      </c>
      <c r="G1" s="2"/>
    </row>
    <row r="2" spans="1:7" hidden="1" x14ac:dyDescent="0.3">
      <c r="A2" s="3" t="s">
        <v>8</v>
      </c>
      <c r="B2" s="3">
        <v>10081</v>
      </c>
      <c r="C2" s="12">
        <v>602</v>
      </c>
      <c r="D2" s="5">
        <v>0.01</v>
      </c>
      <c r="E2" s="6">
        <f t="shared" ref="E2:E14" si="0">C2/B2</f>
        <v>5.9716297986310882E-2</v>
      </c>
    </row>
    <row r="3" spans="1:7" hidden="1" x14ac:dyDescent="0.3">
      <c r="A3" s="3" t="s">
        <v>9</v>
      </c>
      <c r="B3" s="3">
        <v>10081</v>
      </c>
      <c r="C3" s="12">
        <v>472</v>
      </c>
      <c r="D3" s="5">
        <v>0.01</v>
      </c>
      <c r="E3" s="6">
        <f t="shared" si="0"/>
        <v>4.6820751909532783E-2</v>
      </c>
    </row>
    <row r="4" spans="1:7" hidden="1" x14ac:dyDescent="0.3">
      <c r="A4" s="3" t="s">
        <v>10</v>
      </c>
      <c r="B4" s="3">
        <v>10174</v>
      </c>
      <c r="C4" s="12">
        <v>547</v>
      </c>
      <c r="D4" s="5">
        <v>0.01</v>
      </c>
      <c r="E4" s="6">
        <f t="shared" si="0"/>
        <v>5.3764497739335559E-2</v>
      </c>
    </row>
    <row r="5" spans="1:7" hidden="1" x14ac:dyDescent="0.3">
      <c r="A5" s="3" t="s">
        <v>11</v>
      </c>
      <c r="B5" s="3">
        <v>10142</v>
      </c>
      <c r="C5" s="12">
        <v>546</v>
      </c>
      <c r="D5" s="5">
        <v>0.01</v>
      </c>
      <c r="E5" s="6">
        <f t="shared" si="0"/>
        <v>5.3835535397357526E-2</v>
      </c>
    </row>
    <row r="6" spans="1:7" hidden="1" x14ac:dyDescent="0.3">
      <c r="A6" s="3" t="s">
        <v>12</v>
      </c>
      <c r="B6" s="3">
        <v>10428</v>
      </c>
      <c r="C6" s="15">
        <v>519</v>
      </c>
      <c r="D6" s="5">
        <v>0.01</v>
      </c>
      <c r="E6" s="6">
        <f t="shared" si="0"/>
        <v>4.9769850402761794E-2</v>
      </c>
    </row>
    <row r="7" spans="1:7" hidden="1" x14ac:dyDescent="0.3">
      <c r="A7" s="3" t="s">
        <v>28</v>
      </c>
      <c r="B7" s="3">
        <v>10575</v>
      </c>
      <c r="C7" s="12">
        <v>572</v>
      </c>
      <c r="D7" s="5">
        <v>0.01</v>
      </c>
      <c r="E7" s="6">
        <f t="shared" si="0"/>
        <v>5.4089834515366433E-2</v>
      </c>
    </row>
    <row r="8" spans="1:7" ht="38.85" hidden="1" x14ac:dyDescent="0.3">
      <c r="A8" s="33" t="s">
        <v>100</v>
      </c>
      <c r="B8" s="27">
        <f>[2]Overages!C26</f>
        <v>10773</v>
      </c>
      <c r="C8" s="12">
        <f>[2]Overages!B26</f>
        <v>330</v>
      </c>
      <c r="D8" s="5">
        <v>0.01</v>
      </c>
      <c r="E8" s="6">
        <f t="shared" si="0"/>
        <v>3.0632135895293788E-2</v>
      </c>
    </row>
    <row r="9" spans="1:7" ht="41.95" hidden="1" x14ac:dyDescent="0.3">
      <c r="A9" s="33" t="s">
        <v>99</v>
      </c>
      <c r="B9" s="27">
        <f>[2]Overages!C27</f>
        <v>10773</v>
      </c>
      <c r="C9" s="12">
        <f>[2]Overages!B27</f>
        <v>334</v>
      </c>
      <c r="D9" s="5">
        <v>0.05</v>
      </c>
      <c r="E9" s="6">
        <f t="shared" si="0"/>
        <v>3.100343451220644E-2</v>
      </c>
    </row>
    <row r="10" spans="1:7" hidden="1" x14ac:dyDescent="0.3">
      <c r="A10" s="3" t="s">
        <v>14</v>
      </c>
      <c r="B10" s="27">
        <f>[2]Overages!C28</f>
        <v>11055</v>
      </c>
      <c r="C10" s="12">
        <f>Overages!B54</f>
        <v>554</v>
      </c>
      <c r="D10" s="5">
        <v>0.05</v>
      </c>
      <c r="E10" s="6">
        <f t="shared" si="0"/>
        <v>5.0113071008593399E-2</v>
      </c>
    </row>
    <row r="11" spans="1:7" hidden="1" x14ac:dyDescent="0.3">
      <c r="A11" s="3" t="s">
        <v>15</v>
      </c>
      <c r="B11" s="27">
        <f>Overages!C55</f>
        <v>11179</v>
      </c>
      <c r="C11" s="12">
        <f>Overages!B55</f>
        <v>523</v>
      </c>
      <c r="D11" s="5">
        <v>0.05</v>
      </c>
      <c r="E11" s="6">
        <f t="shared" si="0"/>
        <v>4.6784148850523302E-2</v>
      </c>
    </row>
    <row r="12" spans="1:7" x14ac:dyDescent="0.3">
      <c r="A12" s="3" t="s">
        <v>16</v>
      </c>
      <c r="B12" s="27">
        <f>Overages!C56</f>
        <v>11304</v>
      </c>
      <c r="C12" s="12">
        <f>Overages!B56</f>
        <v>551</v>
      </c>
      <c r="D12" s="5">
        <v>0.05</v>
      </c>
      <c r="E12" s="6">
        <f t="shared" si="0"/>
        <v>4.8743807501769286E-2</v>
      </c>
    </row>
    <row r="13" spans="1:7" x14ac:dyDescent="0.3">
      <c r="A13" s="3" t="s">
        <v>17</v>
      </c>
      <c r="B13" s="27">
        <f>Overages!C57</f>
        <v>11343</v>
      </c>
      <c r="C13" s="12">
        <f>Overages!B57</f>
        <v>499</v>
      </c>
      <c r="D13" s="5">
        <v>0.05</v>
      </c>
      <c r="E13" s="6">
        <f t="shared" si="0"/>
        <v>4.3991889270915983E-2</v>
      </c>
    </row>
    <row r="14" spans="1:7" x14ac:dyDescent="0.3">
      <c r="A14" s="3" t="s">
        <v>18</v>
      </c>
      <c r="B14" s="27">
        <f>Overages!C58</f>
        <v>11447</v>
      </c>
      <c r="C14" s="12">
        <f>Overages!B58</f>
        <v>612</v>
      </c>
      <c r="D14" s="5">
        <v>0.05</v>
      </c>
      <c r="E14" s="6">
        <f t="shared" si="0"/>
        <v>5.3463789639206782E-2</v>
      </c>
    </row>
    <row r="15" spans="1:7" x14ac:dyDescent="0.3">
      <c r="A15" s="3" t="s">
        <v>8</v>
      </c>
      <c r="B15" s="27">
        <v>11728</v>
      </c>
      <c r="C15" s="12">
        <f>Overages!B59</f>
        <v>606</v>
      </c>
      <c r="D15" s="5">
        <v>0.05</v>
      </c>
      <c r="E15" s="6">
        <f t="shared" ref="E15:E18" si="1">C15/B15</f>
        <v>5.1671214188267395E-2</v>
      </c>
    </row>
    <row r="16" spans="1:7" x14ac:dyDescent="0.3">
      <c r="A16" s="3" t="s">
        <v>9</v>
      </c>
      <c r="B16" s="27">
        <v>11842</v>
      </c>
      <c r="C16" s="12">
        <f>Overages!B60</f>
        <v>637</v>
      </c>
      <c r="D16" s="5">
        <v>0.05</v>
      </c>
      <c r="E16" s="6">
        <f t="shared" si="1"/>
        <v>5.3791589258571186E-2</v>
      </c>
    </row>
    <row r="17" spans="1:5" x14ac:dyDescent="0.3">
      <c r="A17" s="3" t="s">
        <v>10</v>
      </c>
      <c r="B17" s="27">
        <v>12136</v>
      </c>
      <c r="C17" s="12">
        <v>709</v>
      </c>
      <c r="D17" s="5">
        <v>0.05</v>
      </c>
      <c r="E17" s="6">
        <f t="shared" si="1"/>
        <v>5.8421226104152936E-2</v>
      </c>
    </row>
    <row r="18" spans="1:5" x14ac:dyDescent="0.3">
      <c r="A18" s="3" t="s">
        <v>11</v>
      </c>
      <c r="B18" s="27">
        <v>12306</v>
      </c>
      <c r="C18" s="12">
        <f>Overages!B62</f>
        <v>783</v>
      </c>
      <c r="D18" s="5">
        <v>0.05</v>
      </c>
      <c r="E18" s="6">
        <f t="shared" si="1"/>
        <v>6.3627498781082398E-2</v>
      </c>
    </row>
    <row r="19" spans="1:5" x14ac:dyDescent="0.3">
      <c r="A19" s="3" t="s">
        <v>12</v>
      </c>
      <c r="B19" s="27">
        <f>Overages!C63</f>
        <v>12601</v>
      </c>
      <c r="C19" s="12">
        <f>Overages!B63</f>
        <v>670</v>
      </c>
      <c r="D19" s="5">
        <v>0.05</v>
      </c>
      <c r="E19" s="6">
        <f t="shared" ref="E19:E26" si="2">C19/B19</f>
        <v>5.3170383302912468E-2</v>
      </c>
    </row>
    <row r="20" spans="1:5" x14ac:dyDescent="0.3">
      <c r="A20" s="3" t="s">
        <v>13</v>
      </c>
      <c r="B20" s="27">
        <f>Overages!C64</f>
        <v>12740</v>
      </c>
      <c r="C20" s="12">
        <f>Overages!B64</f>
        <v>793</v>
      </c>
      <c r="D20" s="5">
        <v>0.05</v>
      </c>
      <c r="E20" s="6">
        <f t="shared" si="2"/>
        <v>6.224489795918367E-2</v>
      </c>
    </row>
    <row r="21" spans="1:5" x14ac:dyDescent="0.3">
      <c r="A21" s="3" t="s">
        <v>112</v>
      </c>
      <c r="B21" s="27">
        <f>Overages!C65</f>
        <v>12936</v>
      </c>
      <c r="C21" s="12">
        <f>Overages!B65</f>
        <v>851</v>
      </c>
      <c r="D21" s="5">
        <v>0.05</v>
      </c>
      <c r="E21" s="6">
        <f t="shared" si="2"/>
        <v>6.5785405071119352E-2</v>
      </c>
    </row>
    <row r="22" spans="1:5" x14ac:dyDescent="0.3">
      <c r="A22" s="3" t="s">
        <v>14</v>
      </c>
      <c r="B22" s="27">
        <f>Overages!C66</f>
        <v>13079</v>
      </c>
      <c r="C22" s="12">
        <f>Overages!B66</f>
        <v>669</v>
      </c>
      <c r="D22" s="5">
        <v>0.05</v>
      </c>
      <c r="E22" s="6">
        <f t="shared" si="2"/>
        <v>5.1150699594770241E-2</v>
      </c>
    </row>
    <row r="23" spans="1:5" x14ac:dyDescent="0.3">
      <c r="A23" s="3" t="s">
        <v>15</v>
      </c>
      <c r="B23" s="27">
        <f>Overages!C67</f>
        <v>13515</v>
      </c>
      <c r="C23" s="12">
        <f>Overages!B67</f>
        <v>811</v>
      </c>
      <c r="D23" s="5">
        <v>0.05</v>
      </c>
      <c r="E23" s="6">
        <f t="shared" si="2"/>
        <v>6.0007399186089529E-2</v>
      </c>
    </row>
    <row r="24" spans="1:5" x14ac:dyDescent="0.3">
      <c r="A24" s="3" t="s">
        <v>16</v>
      </c>
      <c r="B24" s="27">
        <f>Overages!C68</f>
        <v>13652</v>
      </c>
      <c r="C24" s="12">
        <f>Overages!B68</f>
        <v>716</v>
      </c>
      <c r="D24" s="5">
        <v>0.05</v>
      </c>
      <c r="E24" s="6">
        <f t="shared" si="2"/>
        <v>5.2446527981248166E-2</v>
      </c>
    </row>
    <row r="25" spans="1:5" x14ac:dyDescent="0.3">
      <c r="A25" s="3" t="s">
        <v>17</v>
      </c>
      <c r="B25" s="27">
        <f>Overages!C69</f>
        <v>13886</v>
      </c>
      <c r="C25" s="12">
        <f>Overages!B69</f>
        <v>731</v>
      </c>
      <c r="D25" s="5">
        <v>0.05</v>
      </c>
      <c r="E25" s="6">
        <f t="shared" si="2"/>
        <v>5.2642949733544581E-2</v>
      </c>
    </row>
    <row r="26" spans="1:5" x14ac:dyDescent="0.3">
      <c r="A26" s="3" t="s">
        <v>18</v>
      </c>
      <c r="B26" s="27">
        <f>Overages!C70</f>
        <v>14160</v>
      </c>
      <c r="C26" s="12">
        <f>Overages!B70</f>
        <v>799</v>
      </c>
      <c r="D26" s="5">
        <v>0.05</v>
      </c>
      <c r="E26" s="6">
        <f t="shared" si="2"/>
        <v>5.6426553672316387E-2</v>
      </c>
    </row>
    <row r="27" spans="1:5" x14ac:dyDescent="0.3">
      <c r="A27" s="3" t="s">
        <v>8</v>
      </c>
      <c r="B27" s="27">
        <f>Overages!C71</f>
        <v>14247</v>
      </c>
      <c r="C27" s="12">
        <f>Overages!B71</f>
        <v>890</v>
      </c>
      <c r="D27" s="5">
        <v>0.05</v>
      </c>
      <c r="E27" s="6">
        <f t="shared" ref="E27:E38" si="3">C27/B27</f>
        <v>6.2469291780725765E-2</v>
      </c>
    </row>
    <row r="28" spans="1:5" x14ac:dyDescent="0.3">
      <c r="A28" s="3" t="s">
        <v>9</v>
      </c>
      <c r="B28" s="27">
        <f>Overages!C72</f>
        <v>14579</v>
      </c>
      <c r="C28" s="12">
        <f>Overages!B72</f>
        <v>828</v>
      </c>
      <c r="D28" s="5">
        <v>0.05</v>
      </c>
      <c r="E28" s="6">
        <f t="shared" si="3"/>
        <v>5.6794018794155979E-2</v>
      </c>
    </row>
    <row r="29" spans="1:5" x14ac:dyDescent="0.3">
      <c r="A29" s="3" t="s">
        <v>10</v>
      </c>
      <c r="B29" s="27">
        <f>Overages!C73</f>
        <v>14831</v>
      </c>
      <c r="C29" s="12">
        <f>Overages!B73</f>
        <v>815</v>
      </c>
      <c r="D29" s="5">
        <v>0.05</v>
      </c>
      <c r="E29" s="6">
        <f t="shared" si="3"/>
        <v>5.4952464432607373E-2</v>
      </c>
    </row>
    <row r="30" spans="1:5" x14ac:dyDescent="0.3">
      <c r="A30" s="3" t="s">
        <v>11</v>
      </c>
      <c r="B30" s="27">
        <f>Overages!C74</f>
        <v>15033</v>
      </c>
      <c r="C30" s="12">
        <f>Overages!B74</f>
        <v>985</v>
      </c>
      <c r="D30" s="5">
        <v>0.05</v>
      </c>
      <c r="E30" s="6">
        <f t="shared" si="3"/>
        <v>6.552251712898291E-2</v>
      </c>
    </row>
    <row r="31" spans="1:5" x14ac:dyDescent="0.3">
      <c r="A31" s="3" t="s">
        <v>12</v>
      </c>
      <c r="B31" s="27">
        <f>Overages!C75</f>
        <v>15194</v>
      </c>
      <c r="C31" s="12">
        <f>Overages!B75</f>
        <v>911</v>
      </c>
      <c r="D31" s="5">
        <v>0.05</v>
      </c>
      <c r="E31" s="6">
        <f t="shared" si="3"/>
        <v>5.9957878109780177E-2</v>
      </c>
    </row>
    <row r="32" spans="1:5" x14ac:dyDescent="0.3">
      <c r="A32" s="3" t="s">
        <v>28</v>
      </c>
      <c r="B32" s="27">
        <f>Overages!C76</f>
        <v>15471</v>
      </c>
      <c r="C32" s="12">
        <f>Overages!B76</f>
        <v>953</v>
      </c>
      <c r="D32" s="5">
        <v>0.05</v>
      </c>
      <c r="E32" s="6">
        <f t="shared" si="3"/>
        <v>6.1599120935944669E-2</v>
      </c>
    </row>
    <row r="33" spans="1:5" x14ac:dyDescent="0.3">
      <c r="A33" s="3" t="s">
        <v>117</v>
      </c>
      <c r="B33" s="27">
        <f>Overages!C77</f>
        <v>15926</v>
      </c>
      <c r="C33" s="12">
        <f>Overages!B77</f>
        <v>1164</v>
      </c>
      <c r="D33" s="5">
        <v>0.05</v>
      </c>
      <c r="E33" s="6">
        <f t="shared" si="3"/>
        <v>7.3088032148687684E-2</v>
      </c>
    </row>
    <row r="34" spans="1:5" x14ac:dyDescent="0.3">
      <c r="A34" s="3" t="s">
        <v>14</v>
      </c>
      <c r="B34" s="27">
        <f>Overages!C78</f>
        <v>16151</v>
      </c>
      <c r="C34" s="12">
        <f>Overages!B78</f>
        <v>1068</v>
      </c>
      <c r="D34" s="5">
        <v>0.05</v>
      </c>
      <c r="E34" s="6">
        <f t="shared" si="3"/>
        <v>6.6125936474521696E-2</v>
      </c>
    </row>
    <row r="35" spans="1:5" x14ac:dyDescent="0.3">
      <c r="A35" s="3" t="s">
        <v>15</v>
      </c>
      <c r="B35" s="27">
        <f>Overages!C79</f>
        <v>16354</v>
      </c>
      <c r="C35" s="12">
        <f>Overages!B79</f>
        <v>1070</v>
      </c>
      <c r="D35" s="5">
        <v>0.05</v>
      </c>
      <c r="E35" s="6">
        <f t="shared" si="3"/>
        <v>6.5427418368594836E-2</v>
      </c>
    </row>
    <row r="36" spans="1:5" x14ac:dyDescent="0.3">
      <c r="A36" s="3" t="s">
        <v>16</v>
      </c>
      <c r="B36" s="27">
        <f>Overages!C80</f>
        <v>16494</v>
      </c>
      <c r="C36" s="12">
        <f>Overages!B80</f>
        <v>719</v>
      </c>
      <c r="D36" s="5">
        <v>0.05</v>
      </c>
      <c r="E36" s="6">
        <f t="shared" si="3"/>
        <v>4.3591609069964836E-2</v>
      </c>
    </row>
    <row r="37" spans="1:5" x14ac:dyDescent="0.3">
      <c r="A37" s="3" t="s">
        <v>17</v>
      </c>
      <c r="B37" s="27">
        <f>Overages!C81</f>
        <v>0</v>
      </c>
      <c r="C37" s="12">
        <f>Overages!B81</f>
        <v>0</v>
      </c>
      <c r="D37" s="5">
        <v>0.05</v>
      </c>
      <c r="E37" s="6" t="e">
        <f t="shared" si="3"/>
        <v>#DIV/0!</v>
      </c>
    </row>
    <row r="38" spans="1:5" x14ac:dyDescent="0.3">
      <c r="A38" s="3" t="s">
        <v>18</v>
      </c>
      <c r="B38" s="27">
        <f>Overages!C82</f>
        <v>0</v>
      </c>
      <c r="C38" s="12">
        <f>Overages!B82</f>
        <v>0</v>
      </c>
      <c r="D38" s="5">
        <v>0.05</v>
      </c>
      <c r="E38" s="6" t="e">
        <f t="shared" si="3"/>
        <v>#DIV/0!</v>
      </c>
    </row>
    <row r="39" spans="1:5" x14ac:dyDescent="0.3">
      <c r="A39" s="70" t="s">
        <v>27</v>
      </c>
      <c r="B39" s="70"/>
      <c r="C39" s="41">
        <f>SUM(C15:C26)</f>
        <v>8775</v>
      </c>
      <c r="D39" s="41"/>
      <c r="E39" s="42">
        <f>AVERAGE(E15:E26)</f>
        <v>5.6782195402771525E-2</v>
      </c>
    </row>
    <row r="40" spans="1:5" x14ac:dyDescent="0.3">
      <c r="A40" s="10"/>
    </row>
    <row r="41" spans="1:5" x14ac:dyDescent="0.3">
      <c r="A41"/>
      <c r="B41"/>
      <c r="D41"/>
    </row>
    <row r="42" spans="1:5" x14ac:dyDescent="0.3">
      <c r="A42"/>
      <c r="B42"/>
      <c r="D42"/>
    </row>
    <row r="43" spans="1:5" x14ac:dyDescent="0.3">
      <c r="A43"/>
      <c r="B43"/>
      <c r="D43"/>
    </row>
    <row r="44" spans="1:5" x14ac:dyDescent="0.3">
      <c r="A44"/>
      <c r="B44"/>
      <c r="D44"/>
    </row>
    <row r="45" spans="1:5" x14ac:dyDescent="0.3">
      <c r="A45"/>
      <c r="B45"/>
      <c r="D45"/>
    </row>
    <row r="46" spans="1:5" x14ac:dyDescent="0.3">
      <c r="A46"/>
      <c r="B46"/>
      <c r="D46"/>
    </row>
    <row r="47" spans="1:5" x14ac:dyDescent="0.3">
      <c r="A47"/>
      <c r="B47"/>
    </row>
    <row r="48" spans="1:5" x14ac:dyDescent="0.3">
      <c r="A48"/>
      <c r="B48"/>
    </row>
    <row r="49" spans="1:2" x14ac:dyDescent="0.3">
      <c r="A49"/>
      <c r="B49"/>
    </row>
    <row r="50" spans="1:2" x14ac:dyDescent="0.3">
      <c r="A50"/>
      <c r="B50"/>
    </row>
    <row r="51" spans="1:2" x14ac:dyDescent="0.3">
      <c r="A51"/>
      <c r="B51"/>
    </row>
    <row r="52" spans="1:2" x14ac:dyDescent="0.3">
      <c r="A52"/>
      <c r="B52"/>
    </row>
    <row r="53" spans="1:2" x14ac:dyDescent="0.3">
      <c r="A53"/>
      <c r="B53"/>
    </row>
    <row r="54" spans="1:2" x14ac:dyDescent="0.3">
      <c r="A54"/>
      <c r="B54"/>
    </row>
    <row r="55" spans="1:2" x14ac:dyDescent="0.3">
      <c r="A55"/>
      <c r="B55"/>
    </row>
    <row r="56" spans="1:2" x14ac:dyDescent="0.3">
      <c r="A56"/>
      <c r="B56"/>
    </row>
  </sheetData>
  <mergeCells count="1">
    <mergeCell ref="A39:B39"/>
  </mergeCells>
  <phoneticPr fontId="13" type="noConversion"/>
  <pageMargins left="0.7" right="0.7" top="0.75" bottom="0.75" header="0.3" footer="0.3"/>
  <drawing r:id="rId1"/>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2FD91D8-AD05-4FE7-917C-CF6065C79503}">
  <dimension ref="A1:C34"/>
  <sheetViews>
    <sheetView topLeftCell="A9" workbookViewId="0">
      <selection activeCell="B25" sqref="B25"/>
    </sheetView>
  </sheetViews>
  <sheetFormatPr defaultRowHeight="15.05" x14ac:dyDescent="0.3"/>
  <cols>
    <col min="1" max="1" width="17.5546875" customWidth="1"/>
    <col min="2" max="2" width="17.88671875" customWidth="1"/>
    <col min="3" max="3" width="13.33203125" customWidth="1"/>
  </cols>
  <sheetData>
    <row r="1" spans="1:3" ht="72.650000000000006" customHeight="1" x14ac:dyDescent="0.3">
      <c r="A1" s="71" t="s">
        <v>2694</v>
      </c>
      <c r="B1" s="71"/>
      <c r="C1" s="71"/>
    </row>
    <row r="2" spans="1:3" x14ac:dyDescent="0.3">
      <c r="A2" s="17" t="s">
        <v>3</v>
      </c>
      <c r="B2" s="17" t="s">
        <v>5</v>
      </c>
      <c r="C2" s="59" t="s">
        <v>2691</v>
      </c>
    </row>
    <row r="3" spans="1:3" x14ac:dyDescent="0.3">
      <c r="A3" s="60" t="s">
        <v>8</v>
      </c>
      <c r="B3" s="19">
        <v>14247</v>
      </c>
      <c r="C3" s="3"/>
    </row>
    <row r="4" spans="1:3" x14ac:dyDescent="0.3">
      <c r="A4" s="60" t="s">
        <v>9</v>
      </c>
      <c r="B4" s="19">
        <v>14579</v>
      </c>
      <c r="C4" s="3"/>
    </row>
    <row r="5" spans="1:3" x14ac:dyDescent="0.3">
      <c r="A5" s="60" t="s">
        <v>10</v>
      </c>
      <c r="B5" s="19">
        <v>14831</v>
      </c>
      <c r="C5" s="3"/>
    </row>
    <row r="6" spans="1:3" x14ac:dyDescent="0.3">
      <c r="A6" s="60" t="s">
        <v>11</v>
      </c>
      <c r="B6" s="19">
        <v>15033</v>
      </c>
      <c r="C6" s="3"/>
    </row>
    <row r="7" spans="1:3" x14ac:dyDescent="0.3">
      <c r="A7" s="60" t="s">
        <v>12</v>
      </c>
      <c r="B7" s="19">
        <v>15194</v>
      </c>
      <c r="C7" s="3"/>
    </row>
    <row r="8" spans="1:3" x14ac:dyDescent="0.3">
      <c r="A8" s="60" t="s">
        <v>28</v>
      </c>
      <c r="B8" s="19">
        <v>15471</v>
      </c>
      <c r="C8" s="3"/>
    </row>
    <row r="9" spans="1:3" x14ac:dyDescent="0.3">
      <c r="A9" s="60" t="s">
        <v>117</v>
      </c>
      <c r="B9" s="19">
        <v>15926</v>
      </c>
      <c r="C9" s="3"/>
    </row>
    <row r="10" spans="1:3" x14ac:dyDescent="0.3">
      <c r="A10" s="57">
        <v>46237</v>
      </c>
      <c r="B10" s="19">
        <f>SUM(B9+C10)</f>
        <v>15951</v>
      </c>
      <c r="C10" s="3">
        <v>25</v>
      </c>
    </row>
    <row r="11" spans="1:3" x14ac:dyDescent="0.3">
      <c r="A11" s="57">
        <v>46244</v>
      </c>
      <c r="B11" s="19">
        <f t="shared" ref="B11:B13" si="0">SUM(B10+C11)</f>
        <v>15996</v>
      </c>
      <c r="C11" s="3">
        <v>45</v>
      </c>
    </row>
    <row r="12" spans="1:3" x14ac:dyDescent="0.3">
      <c r="A12" s="57">
        <v>46251</v>
      </c>
      <c r="B12" s="19">
        <f t="shared" si="0"/>
        <v>16041</v>
      </c>
      <c r="C12" s="3">
        <v>45</v>
      </c>
    </row>
    <row r="13" spans="1:3" x14ac:dyDescent="0.3">
      <c r="A13" s="57">
        <v>46258</v>
      </c>
      <c r="B13" s="19">
        <f t="shared" si="0"/>
        <v>16151</v>
      </c>
      <c r="C13" s="3">
        <v>110</v>
      </c>
    </row>
    <row r="14" spans="1:3" x14ac:dyDescent="0.3">
      <c r="A14" s="61" t="s">
        <v>2693</v>
      </c>
      <c r="B14" s="62">
        <v>16151</v>
      </c>
      <c r="C14" s="63"/>
    </row>
    <row r="15" spans="1:3" x14ac:dyDescent="0.3">
      <c r="A15" s="57">
        <v>46266</v>
      </c>
      <c r="B15" s="19">
        <f>SUM(B14+C15)</f>
        <v>16221</v>
      </c>
      <c r="C15" s="3">
        <v>70</v>
      </c>
    </row>
    <row r="16" spans="1:3" x14ac:dyDescent="0.3">
      <c r="A16" s="57">
        <v>46272</v>
      </c>
      <c r="B16" s="19">
        <f t="shared" ref="B16:B26" si="1">SUM(B15+C16)</f>
        <v>16231</v>
      </c>
      <c r="C16" s="3">
        <v>10</v>
      </c>
    </row>
    <row r="17" spans="1:3" x14ac:dyDescent="0.3">
      <c r="A17" s="57">
        <v>46279</v>
      </c>
      <c r="B17" s="19">
        <f t="shared" si="1"/>
        <v>16312</v>
      </c>
      <c r="C17" s="3">
        <v>81</v>
      </c>
    </row>
    <row r="18" spans="1:3" x14ac:dyDescent="0.3">
      <c r="A18" s="57">
        <v>46286</v>
      </c>
      <c r="B18" s="19">
        <f t="shared" si="1"/>
        <v>16332</v>
      </c>
      <c r="C18" s="3">
        <v>20</v>
      </c>
    </row>
    <row r="19" spans="1:3" x14ac:dyDescent="0.3">
      <c r="A19" s="57">
        <v>46293</v>
      </c>
      <c r="B19" s="19">
        <f t="shared" si="1"/>
        <v>16352</v>
      </c>
      <c r="C19" s="3">
        <v>20</v>
      </c>
    </row>
    <row r="20" spans="1:3" x14ac:dyDescent="0.3">
      <c r="A20" s="57" t="s">
        <v>2695</v>
      </c>
      <c r="B20" s="19">
        <f t="shared" si="1"/>
        <v>16354</v>
      </c>
      <c r="C20" s="3">
        <v>2</v>
      </c>
    </row>
    <row r="21" spans="1:3" x14ac:dyDescent="0.3">
      <c r="A21" s="61" t="s">
        <v>2692</v>
      </c>
      <c r="B21" s="62">
        <v>16354</v>
      </c>
      <c r="C21" s="63"/>
    </row>
    <row r="22" spans="1:3" x14ac:dyDescent="0.3">
      <c r="A22" s="57">
        <v>46296</v>
      </c>
      <c r="B22" s="19">
        <f t="shared" si="1"/>
        <v>16354</v>
      </c>
      <c r="C22" s="3">
        <v>0</v>
      </c>
    </row>
    <row r="23" spans="1:3" x14ac:dyDescent="0.3">
      <c r="A23" s="57">
        <v>46300</v>
      </c>
      <c r="B23" s="19">
        <f t="shared" si="1"/>
        <v>16374</v>
      </c>
      <c r="C23" s="3">
        <v>20</v>
      </c>
    </row>
    <row r="24" spans="1:3" x14ac:dyDescent="0.3">
      <c r="A24" s="57">
        <v>46307</v>
      </c>
      <c r="B24" s="19">
        <f t="shared" si="1"/>
        <v>16444</v>
      </c>
      <c r="C24" s="3">
        <v>70</v>
      </c>
    </row>
    <row r="25" spans="1:3" x14ac:dyDescent="0.3">
      <c r="A25" s="58">
        <v>46314</v>
      </c>
      <c r="B25" s="19">
        <f t="shared" si="1"/>
        <v>16494</v>
      </c>
      <c r="C25" s="3">
        <v>50</v>
      </c>
    </row>
    <row r="26" spans="1:3" x14ac:dyDescent="0.3">
      <c r="A26" s="58">
        <v>46321</v>
      </c>
      <c r="B26" s="19">
        <f t="shared" si="1"/>
        <v>16494</v>
      </c>
      <c r="C26" s="3"/>
    </row>
    <row r="27" spans="1:3" x14ac:dyDescent="0.3">
      <c r="A27" s="19"/>
      <c r="B27" s="53"/>
      <c r="C27" s="3"/>
    </row>
    <row r="28" spans="1:3" x14ac:dyDescent="0.3">
      <c r="A28" s="19"/>
      <c r="B28" s="53"/>
      <c r="C28" s="3"/>
    </row>
    <row r="29" spans="1:3" x14ac:dyDescent="0.3">
      <c r="A29" s="19"/>
      <c r="B29" s="53"/>
      <c r="C29" s="3"/>
    </row>
    <row r="30" spans="1:3" x14ac:dyDescent="0.3">
      <c r="A30" s="19"/>
      <c r="B30" s="53"/>
      <c r="C30" s="3"/>
    </row>
    <row r="31" spans="1:3" x14ac:dyDescent="0.3">
      <c r="A31" s="19"/>
      <c r="B31" s="53"/>
      <c r="C31" s="3"/>
    </row>
    <row r="32" spans="1:3" x14ac:dyDescent="0.3">
      <c r="A32" s="19"/>
      <c r="B32" s="53"/>
      <c r="C32" s="3"/>
    </row>
    <row r="33" spans="1:3" x14ac:dyDescent="0.3">
      <c r="A33" s="19"/>
      <c r="B33" s="53"/>
      <c r="C33" s="3"/>
    </row>
    <row r="34" spans="1:3" x14ac:dyDescent="0.3">
      <c r="A34" s="19"/>
      <c r="B34" s="53"/>
      <c r="C34" s="3"/>
    </row>
  </sheetData>
  <mergeCells count="1">
    <mergeCell ref="A1:C1"/>
  </mergeCells>
  <pageMargins left="0.7" right="0.7" top="0.75" bottom="0.75" header="0.3" footer="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4CB1F2D-DC61-49B8-B887-28C673689589}">
  <dimension ref="A1:C23"/>
  <sheetViews>
    <sheetView workbookViewId="0">
      <selection activeCell="G21" sqref="G21"/>
    </sheetView>
  </sheetViews>
  <sheetFormatPr defaultRowHeight="15.05" x14ac:dyDescent="0.3"/>
  <cols>
    <col min="1" max="1" width="12.77734375" style="43" bestFit="1" customWidth="1"/>
    <col min="2" max="2" width="13.44140625" bestFit="1" customWidth="1"/>
    <col min="3" max="3" width="16.6640625" bestFit="1" customWidth="1"/>
  </cols>
  <sheetData>
    <row r="1" spans="1:3" x14ac:dyDescent="0.3">
      <c r="A1" s="55" t="s">
        <v>2662</v>
      </c>
      <c r="B1" s="54" t="s">
        <v>2661</v>
      </c>
      <c r="C1" s="54" t="s">
        <v>2663</v>
      </c>
    </row>
    <row r="2" spans="1:3" x14ac:dyDescent="0.3">
      <c r="A2" s="56">
        <v>46267.50277777778</v>
      </c>
      <c r="B2" s="53" t="s">
        <v>2664</v>
      </c>
      <c r="C2" s="53" t="s">
        <v>2675</v>
      </c>
    </row>
    <row r="3" spans="1:3" x14ac:dyDescent="0.3">
      <c r="A3" s="56">
        <v>46267.429166666669</v>
      </c>
      <c r="B3" s="53" t="s">
        <v>2665</v>
      </c>
      <c r="C3" s="53" t="s">
        <v>2676</v>
      </c>
    </row>
    <row r="4" spans="1:3" x14ac:dyDescent="0.3">
      <c r="A4" s="56">
        <v>46111.628472222219</v>
      </c>
      <c r="B4" s="53" t="s">
        <v>2666</v>
      </c>
      <c r="C4" s="53" t="s">
        <v>2677</v>
      </c>
    </row>
    <row r="5" spans="1:3" x14ac:dyDescent="0.3">
      <c r="A5" s="56">
        <v>46111.625</v>
      </c>
      <c r="B5" s="53" t="s">
        <v>2667</v>
      </c>
      <c r="C5" s="53" t="s">
        <v>2678</v>
      </c>
    </row>
    <row r="6" spans="1:3" x14ac:dyDescent="0.3">
      <c r="A6" s="56">
        <v>46111.620833333334</v>
      </c>
      <c r="B6" s="53" t="s">
        <v>2668</v>
      </c>
      <c r="C6" s="53" t="s">
        <v>2679</v>
      </c>
    </row>
    <row r="7" spans="1:3" x14ac:dyDescent="0.3">
      <c r="A7" s="56">
        <v>46111.617361111108</v>
      </c>
      <c r="B7" s="53" t="s">
        <v>2669</v>
      </c>
      <c r="C7" s="53" t="s">
        <v>2680</v>
      </c>
    </row>
    <row r="8" spans="1:3" x14ac:dyDescent="0.3">
      <c r="A8" s="56">
        <v>46111.606249999997</v>
      </c>
      <c r="B8" s="53" t="s">
        <v>2670</v>
      </c>
      <c r="C8" s="53" t="s">
        <v>2681</v>
      </c>
    </row>
    <row r="9" spans="1:3" x14ac:dyDescent="0.3">
      <c r="A9" s="56">
        <v>46105.55</v>
      </c>
      <c r="B9" s="53" t="s">
        <v>2671</v>
      </c>
      <c r="C9" s="53" t="s">
        <v>2682</v>
      </c>
    </row>
    <row r="10" spans="1:3" x14ac:dyDescent="0.3">
      <c r="A10" s="56">
        <v>46105.544444444444</v>
      </c>
      <c r="B10" s="53" t="s">
        <v>2672</v>
      </c>
      <c r="C10" s="53" t="s">
        <v>2683</v>
      </c>
    </row>
    <row r="11" spans="1:3" x14ac:dyDescent="0.3">
      <c r="A11" s="56">
        <v>46071.424305555556</v>
      </c>
      <c r="B11" s="53" t="s">
        <v>2673</v>
      </c>
      <c r="C11" s="53" t="s">
        <v>2684</v>
      </c>
    </row>
    <row r="12" spans="1:3" x14ac:dyDescent="0.3">
      <c r="A12" s="56">
        <v>46071.410416666666</v>
      </c>
      <c r="B12" s="53" t="s">
        <v>2674</v>
      </c>
      <c r="C12" s="53" t="s">
        <v>1948</v>
      </c>
    </row>
    <row r="13" spans="1:3" x14ac:dyDescent="0.3">
      <c r="A13" s="56">
        <v>46071.384027777778</v>
      </c>
      <c r="B13" s="53" t="s">
        <v>2685</v>
      </c>
      <c r="C13" s="53" t="s">
        <v>2688</v>
      </c>
    </row>
    <row r="14" spans="1:3" x14ac:dyDescent="0.3">
      <c r="A14" s="56">
        <v>46071.377083333333</v>
      </c>
      <c r="B14" s="53" t="s">
        <v>2686</v>
      </c>
      <c r="C14" s="53" t="s">
        <v>2689</v>
      </c>
    </row>
    <row r="15" spans="1:3" x14ac:dyDescent="0.3">
      <c r="A15" s="56">
        <v>46070.691666666666</v>
      </c>
      <c r="B15" s="53" t="s">
        <v>2687</v>
      </c>
      <c r="C15" s="53" t="s">
        <v>2690</v>
      </c>
    </row>
    <row r="16" spans="1:3" x14ac:dyDescent="0.3">
      <c r="A16" s="56"/>
      <c r="B16" s="53"/>
      <c r="C16" s="53"/>
    </row>
    <row r="17" spans="1:3" x14ac:dyDescent="0.3">
      <c r="A17" s="56"/>
      <c r="B17" s="53"/>
      <c r="C17" s="53"/>
    </row>
    <row r="18" spans="1:3" x14ac:dyDescent="0.3">
      <c r="A18" s="56"/>
      <c r="B18" s="53"/>
      <c r="C18" s="53"/>
    </row>
    <row r="19" spans="1:3" x14ac:dyDescent="0.3">
      <c r="A19" s="56"/>
      <c r="B19" s="53"/>
      <c r="C19" s="53"/>
    </row>
    <row r="20" spans="1:3" x14ac:dyDescent="0.3">
      <c r="A20" s="56"/>
      <c r="B20" s="53"/>
      <c r="C20" s="53"/>
    </row>
    <row r="21" spans="1:3" x14ac:dyDescent="0.3">
      <c r="A21" s="56"/>
      <c r="B21" s="53"/>
      <c r="C21" s="53"/>
    </row>
    <row r="22" spans="1:3" x14ac:dyDescent="0.3">
      <c r="A22" s="56"/>
      <c r="B22" s="53"/>
      <c r="C22" s="53"/>
    </row>
    <row r="23" spans="1:3" x14ac:dyDescent="0.3">
      <c r="A23" s="56"/>
      <c r="B23" s="53"/>
      <c r="C23" s="53"/>
    </row>
  </sheetData>
  <pageMargins left="0.7" right="0.7" top="0.75" bottom="0.75" header="0.3" footer="0.3"/>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217E61C-07B3-4BE0-A93D-54C447B02CA7}">
  <dimension ref="A1:P1082"/>
  <sheetViews>
    <sheetView topLeftCell="B1" zoomScale="115" zoomScaleNormal="115" workbookViewId="0">
      <selection activeCell="I26" sqref="I26"/>
    </sheetView>
  </sheetViews>
  <sheetFormatPr defaultRowHeight="15.05" x14ac:dyDescent="0.3"/>
  <cols>
    <col min="2" max="2" width="48.33203125" style="43" customWidth="1"/>
    <col min="3" max="3" width="17.44140625" style="43" customWidth="1"/>
    <col min="4" max="4" width="14.109375" style="43" customWidth="1"/>
    <col min="8" max="8" width="23.6640625" customWidth="1"/>
    <col min="9" max="9" width="15.109375" customWidth="1"/>
  </cols>
  <sheetData>
    <row r="1" spans="1:16" x14ac:dyDescent="0.3">
      <c r="A1" t="s">
        <v>36</v>
      </c>
      <c r="B1" t="s">
        <v>37</v>
      </c>
      <c r="C1" t="s">
        <v>498</v>
      </c>
      <c r="D1" s="43" t="s">
        <v>38</v>
      </c>
      <c r="E1" t="s">
        <v>39</v>
      </c>
      <c r="F1" t="s">
        <v>40</v>
      </c>
      <c r="G1" t="s">
        <v>41</v>
      </c>
      <c r="H1" t="s">
        <v>42</v>
      </c>
      <c r="I1" t="s">
        <v>43</v>
      </c>
      <c r="J1" t="s">
        <v>44</v>
      </c>
      <c r="K1" t="s">
        <v>499</v>
      </c>
      <c r="L1" t="s">
        <v>500</v>
      </c>
      <c r="M1" t="s">
        <v>501</v>
      </c>
      <c r="N1" t="s">
        <v>45</v>
      </c>
      <c r="O1" t="s">
        <v>46</v>
      </c>
      <c r="P1" t="s">
        <v>502</v>
      </c>
    </row>
    <row r="2" spans="1:16" x14ac:dyDescent="0.3">
      <c r="A2" t="s">
        <v>2319</v>
      </c>
      <c r="B2" t="s">
        <v>62</v>
      </c>
      <c r="C2" s="51">
        <v>46312.5</v>
      </c>
      <c r="D2" s="51">
        <v>46310.884722222225</v>
      </c>
      <c r="E2" t="s">
        <v>87</v>
      </c>
      <c r="F2" t="s">
        <v>53</v>
      </c>
      <c r="G2" t="s">
        <v>54</v>
      </c>
      <c r="H2" t="s">
        <v>63</v>
      </c>
      <c r="I2" t="s">
        <v>64</v>
      </c>
      <c r="J2" t="s">
        <v>65</v>
      </c>
      <c r="K2" t="s">
        <v>481</v>
      </c>
      <c r="L2" t="s">
        <v>470</v>
      </c>
      <c r="M2" t="s">
        <v>471</v>
      </c>
      <c r="O2" t="s">
        <v>52</v>
      </c>
      <c r="P2" t="s">
        <v>472</v>
      </c>
    </row>
    <row r="3" spans="1:16" x14ac:dyDescent="0.3">
      <c r="A3" t="s">
        <v>2320</v>
      </c>
      <c r="B3" t="s">
        <v>71</v>
      </c>
      <c r="C3" s="51">
        <v>46312.5</v>
      </c>
      <c r="D3" s="51">
        <v>46310.884722222225</v>
      </c>
      <c r="E3" t="s">
        <v>87</v>
      </c>
      <c r="F3" t="s">
        <v>48</v>
      </c>
      <c r="G3" t="s">
        <v>49</v>
      </c>
      <c r="H3" t="s">
        <v>72</v>
      </c>
      <c r="I3" t="s">
        <v>73</v>
      </c>
      <c r="J3" t="s">
        <v>70</v>
      </c>
      <c r="K3" t="s">
        <v>469</v>
      </c>
      <c r="L3" t="s">
        <v>470</v>
      </c>
      <c r="M3" t="s">
        <v>471</v>
      </c>
      <c r="N3">
        <v>15820458</v>
      </c>
      <c r="O3" t="s">
        <v>52</v>
      </c>
      <c r="P3" t="s">
        <v>472</v>
      </c>
    </row>
    <row r="4" spans="1:16" x14ac:dyDescent="0.3">
      <c r="A4" t="s">
        <v>2321</v>
      </c>
      <c r="B4" t="s">
        <v>62</v>
      </c>
      <c r="C4" s="51">
        <v>46312.458333333336</v>
      </c>
      <c r="D4" s="51">
        <v>46310.852777777778</v>
      </c>
      <c r="E4" t="s">
        <v>87</v>
      </c>
      <c r="F4" t="s">
        <v>53</v>
      </c>
      <c r="G4" t="s">
        <v>54</v>
      </c>
      <c r="H4" t="s">
        <v>63</v>
      </c>
      <c r="I4" t="s">
        <v>64</v>
      </c>
      <c r="J4" t="s">
        <v>65</v>
      </c>
      <c r="K4" t="s">
        <v>481</v>
      </c>
      <c r="L4" t="s">
        <v>470</v>
      </c>
      <c r="M4" t="s">
        <v>471</v>
      </c>
      <c r="O4" t="s">
        <v>52</v>
      </c>
      <c r="P4" t="s">
        <v>472</v>
      </c>
    </row>
    <row r="5" spans="1:16" x14ac:dyDescent="0.3">
      <c r="A5" t="s">
        <v>2322</v>
      </c>
      <c r="B5" t="s">
        <v>74</v>
      </c>
      <c r="C5" s="51">
        <v>46312.5</v>
      </c>
      <c r="D5" s="51">
        <v>46310.852777777778</v>
      </c>
      <c r="E5" t="s">
        <v>87</v>
      </c>
      <c r="F5" t="s">
        <v>48</v>
      </c>
      <c r="G5" t="s">
        <v>49</v>
      </c>
      <c r="H5" t="s">
        <v>75</v>
      </c>
      <c r="I5" t="s">
        <v>76</v>
      </c>
      <c r="J5" t="s">
        <v>70</v>
      </c>
      <c r="K5" t="s">
        <v>469</v>
      </c>
      <c r="L5" t="s">
        <v>470</v>
      </c>
      <c r="M5" t="s">
        <v>471</v>
      </c>
      <c r="N5">
        <v>15820646</v>
      </c>
      <c r="O5" t="s">
        <v>52</v>
      </c>
      <c r="P5" t="s">
        <v>472</v>
      </c>
    </row>
    <row r="6" spans="1:16" x14ac:dyDescent="0.3">
      <c r="A6" t="s">
        <v>2323</v>
      </c>
      <c r="B6" t="s">
        <v>62</v>
      </c>
      <c r="C6" s="51">
        <v>46312.458333333336</v>
      </c>
      <c r="D6" s="51">
        <v>46310.770138888889</v>
      </c>
      <c r="E6" t="s">
        <v>87</v>
      </c>
      <c r="F6" t="s">
        <v>53</v>
      </c>
      <c r="G6" t="s">
        <v>54</v>
      </c>
      <c r="H6" t="s">
        <v>63</v>
      </c>
      <c r="I6" t="s">
        <v>64</v>
      </c>
      <c r="J6" t="s">
        <v>65</v>
      </c>
      <c r="K6" t="s">
        <v>481</v>
      </c>
      <c r="L6" t="s">
        <v>470</v>
      </c>
      <c r="M6" t="s">
        <v>471</v>
      </c>
      <c r="O6" t="s">
        <v>52</v>
      </c>
      <c r="P6" t="s">
        <v>472</v>
      </c>
    </row>
    <row r="7" spans="1:16" x14ac:dyDescent="0.3">
      <c r="A7" t="s">
        <v>2324</v>
      </c>
      <c r="B7" t="s">
        <v>74</v>
      </c>
      <c r="C7" s="51">
        <v>46312.5</v>
      </c>
      <c r="D7" s="51">
        <v>46310.770138888889</v>
      </c>
      <c r="E7" t="s">
        <v>87</v>
      </c>
      <c r="F7" t="s">
        <v>48</v>
      </c>
      <c r="G7" t="s">
        <v>49</v>
      </c>
      <c r="H7" t="s">
        <v>75</v>
      </c>
      <c r="I7" t="s">
        <v>86</v>
      </c>
      <c r="J7" t="s">
        <v>70</v>
      </c>
      <c r="K7" t="s">
        <v>469</v>
      </c>
      <c r="L7" t="s">
        <v>470</v>
      </c>
      <c r="M7" t="s">
        <v>471</v>
      </c>
      <c r="N7">
        <v>15820446</v>
      </c>
      <c r="O7" t="s">
        <v>52</v>
      </c>
      <c r="P7" t="s">
        <v>472</v>
      </c>
    </row>
    <row r="8" spans="1:16" x14ac:dyDescent="0.3">
      <c r="A8" t="s">
        <v>2325</v>
      </c>
      <c r="B8" t="s">
        <v>62</v>
      </c>
      <c r="C8" s="51">
        <v>46312.458333333336</v>
      </c>
      <c r="D8" s="51">
        <v>46310.724999999999</v>
      </c>
      <c r="E8" t="s">
        <v>87</v>
      </c>
      <c r="F8" t="s">
        <v>53</v>
      </c>
      <c r="G8" t="s">
        <v>54</v>
      </c>
      <c r="H8" t="s">
        <v>63</v>
      </c>
      <c r="I8" t="s">
        <v>64</v>
      </c>
      <c r="J8" t="s">
        <v>65</v>
      </c>
      <c r="K8" t="s">
        <v>481</v>
      </c>
      <c r="L8" t="s">
        <v>470</v>
      </c>
      <c r="M8" t="s">
        <v>471</v>
      </c>
      <c r="O8" t="s">
        <v>52</v>
      </c>
      <c r="P8" t="s">
        <v>472</v>
      </c>
    </row>
    <row r="9" spans="1:16" x14ac:dyDescent="0.3">
      <c r="A9" t="s">
        <v>2326</v>
      </c>
      <c r="B9" t="s">
        <v>62</v>
      </c>
      <c r="C9" s="51">
        <v>46312.458333333336</v>
      </c>
      <c r="D9" s="51">
        <v>46310.724999999999</v>
      </c>
      <c r="E9" t="s">
        <v>87</v>
      </c>
      <c r="F9" t="s">
        <v>53</v>
      </c>
      <c r="G9" t="s">
        <v>54</v>
      </c>
      <c r="H9" t="s">
        <v>63</v>
      </c>
      <c r="I9" t="s">
        <v>64</v>
      </c>
      <c r="J9" t="s">
        <v>65</v>
      </c>
      <c r="K9" t="s">
        <v>481</v>
      </c>
      <c r="L9" t="s">
        <v>470</v>
      </c>
      <c r="M9" t="s">
        <v>471</v>
      </c>
      <c r="O9" t="s">
        <v>52</v>
      </c>
      <c r="P9" t="s">
        <v>472</v>
      </c>
    </row>
    <row r="10" spans="1:16" x14ac:dyDescent="0.3">
      <c r="A10" t="s">
        <v>2327</v>
      </c>
      <c r="B10" t="s">
        <v>62</v>
      </c>
      <c r="C10" s="51">
        <v>46312.458333333336</v>
      </c>
      <c r="D10" s="51">
        <v>46310.724999999999</v>
      </c>
      <c r="E10" t="s">
        <v>87</v>
      </c>
      <c r="F10" t="s">
        <v>53</v>
      </c>
      <c r="G10" t="s">
        <v>54</v>
      </c>
      <c r="H10" t="s">
        <v>63</v>
      </c>
      <c r="I10" t="s">
        <v>64</v>
      </c>
      <c r="J10" t="s">
        <v>65</v>
      </c>
      <c r="K10" t="s">
        <v>481</v>
      </c>
      <c r="L10" t="s">
        <v>470</v>
      </c>
      <c r="M10" t="s">
        <v>471</v>
      </c>
      <c r="O10" t="s">
        <v>52</v>
      </c>
      <c r="P10" t="s">
        <v>472</v>
      </c>
    </row>
    <row r="11" spans="1:16" x14ac:dyDescent="0.3">
      <c r="A11" t="s">
        <v>2328</v>
      </c>
      <c r="B11" t="s">
        <v>62</v>
      </c>
      <c r="C11" s="51">
        <v>46312.458333333336</v>
      </c>
      <c r="D11" s="51">
        <v>46310.724999999999</v>
      </c>
      <c r="E11" t="s">
        <v>87</v>
      </c>
      <c r="F11" t="s">
        <v>53</v>
      </c>
      <c r="G11" t="s">
        <v>54</v>
      </c>
      <c r="H11" t="s">
        <v>63</v>
      </c>
      <c r="I11" t="s">
        <v>64</v>
      </c>
      <c r="J11" t="s">
        <v>65</v>
      </c>
      <c r="K11" t="s">
        <v>481</v>
      </c>
      <c r="L11" t="s">
        <v>470</v>
      </c>
      <c r="M11" t="s">
        <v>471</v>
      </c>
      <c r="O11" t="s">
        <v>52</v>
      </c>
      <c r="P11" t="s">
        <v>472</v>
      </c>
    </row>
    <row r="12" spans="1:16" x14ac:dyDescent="0.3">
      <c r="A12" t="s">
        <v>2329</v>
      </c>
      <c r="B12" t="s">
        <v>62</v>
      </c>
      <c r="C12" s="51">
        <v>46312.458333333336</v>
      </c>
      <c r="D12" s="51">
        <v>46310.724999999999</v>
      </c>
      <c r="E12" t="s">
        <v>87</v>
      </c>
      <c r="F12" t="s">
        <v>53</v>
      </c>
      <c r="G12" t="s">
        <v>54</v>
      </c>
      <c r="H12" t="s">
        <v>63</v>
      </c>
      <c r="I12" t="s">
        <v>64</v>
      </c>
      <c r="J12" t="s">
        <v>65</v>
      </c>
      <c r="K12" t="s">
        <v>481</v>
      </c>
      <c r="L12" t="s">
        <v>470</v>
      </c>
      <c r="M12" t="s">
        <v>471</v>
      </c>
      <c r="O12" t="s">
        <v>52</v>
      </c>
      <c r="P12" t="s">
        <v>472</v>
      </c>
    </row>
    <row r="13" spans="1:16" x14ac:dyDescent="0.3">
      <c r="A13" t="s">
        <v>2330</v>
      </c>
      <c r="B13" t="s">
        <v>74</v>
      </c>
      <c r="C13" s="51">
        <v>46312.5</v>
      </c>
      <c r="D13" s="51">
        <v>46310.724999999999</v>
      </c>
      <c r="E13" t="s">
        <v>87</v>
      </c>
      <c r="F13" t="s">
        <v>48</v>
      </c>
      <c r="G13" t="s">
        <v>49</v>
      </c>
      <c r="H13" t="s">
        <v>75</v>
      </c>
      <c r="I13" t="s">
        <v>86</v>
      </c>
      <c r="J13" t="s">
        <v>70</v>
      </c>
      <c r="K13" t="s">
        <v>469</v>
      </c>
      <c r="L13" t="s">
        <v>470</v>
      </c>
      <c r="M13" t="s">
        <v>471</v>
      </c>
      <c r="N13">
        <v>15820296</v>
      </c>
      <c r="O13" t="s">
        <v>52</v>
      </c>
      <c r="P13" t="s">
        <v>472</v>
      </c>
    </row>
    <row r="14" spans="1:16" x14ac:dyDescent="0.3">
      <c r="A14" t="s">
        <v>2331</v>
      </c>
      <c r="B14" t="s">
        <v>113</v>
      </c>
      <c r="C14" s="51">
        <v>46312.458333333336</v>
      </c>
      <c r="D14" s="51">
        <v>46310.724999999999</v>
      </c>
      <c r="E14" t="s">
        <v>87</v>
      </c>
      <c r="F14" t="s">
        <v>48</v>
      </c>
      <c r="G14" t="s">
        <v>49</v>
      </c>
      <c r="H14" t="s">
        <v>114</v>
      </c>
      <c r="I14" t="s">
        <v>115</v>
      </c>
      <c r="J14" t="s">
        <v>116</v>
      </c>
      <c r="K14" t="s">
        <v>469</v>
      </c>
      <c r="L14" t="s">
        <v>470</v>
      </c>
      <c r="M14" t="s">
        <v>471</v>
      </c>
      <c r="N14">
        <v>15820286</v>
      </c>
      <c r="O14" t="s">
        <v>52</v>
      </c>
      <c r="P14" t="s">
        <v>472</v>
      </c>
    </row>
    <row r="15" spans="1:16" x14ac:dyDescent="0.3">
      <c r="A15" t="s">
        <v>2332</v>
      </c>
      <c r="B15" t="s">
        <v>74</v>
      </c>
      <c r="C15" s="51">
        <v>46312.5</v>
      </c>
      <c r="D15" s="51">
        <v>46310.724999999999</v>
      </c>
      <c r="E15" t="s">
        <v>87</v>
      </c>
      <c r="F15" t="s">
        <v>48</v>
      </c>
      <c r="G15" t="s">
        <v>49</v>
      </c>
      <c r="H15" t="s">
        <v>75</v>
      </c>
      <c r="I15" t="s">
        <v>86</v>
      </c>
      <c r="J15" t="s">
        <v>70</v>
      </c>
      <c r="K15" t="s">
        <v>469</v>
      </c>
      <c r="L15" t="s">
        <v>470</v>
      </c>
      <c r="M15" t="s">
        <v>471</v>
      </c>
      <c r="N15">
        <v>15820442</v>
      </c>
      <c r="O15" t="s">
        <v>52</v>
      </c>
      <c r="P15" t="s">
        <v>472</v>
      </c>
    </row>
    <row r="16" spans="1:16" x14ac:dyDescent="0.3">
      <c r="A16" t="s">
        <v>2333</v>
      </c>
      <c r="B16" t="s">
        <v>113</v>
      </c>
      <c r="C16" s="51">
        <v>46312.458333333336</v>
      </c>
      <c r="D16" s="51">
        <v>46310.724999999999</v>
      </c>
      <c r="E16" t="s">
        <v>87</v>
      </c>
      <c r="F16" t="s">
        <v>48</v>
      </c>
      <c r="G16" t="s">
        <v>49</v>
      </c>
      <c r="H16" t="s">
        <v>114</v>
      </c>
      <c r="I16" t="s">
        <v>115</v>
      </c>
      <c r="J16" t="s">
        <v>116</v>
      </c>
      <c r="K16" t="s">
        <v>469</v>
      </c>
      <c r="L16" t="s">
        <v>470</v>
      </c>
      <c r="M16" t="s">
        <v>471</v>
      </c>
      <c r="N16">
        <v>15820066</v>
      </c>
      <c r="O16" t="s">
        <v>52</v>
      </c>
      <c r="P16" t="s">
        <v>472</v>
      </c>
    </row>
    <row r="17" spans="1:16" x14ac:dyDescent="0.3">
      <c r="A17" t="s">
        <v>2334</v>
      </c>
      <c r="B17" t="s">
        <v>74</v>
      </c>
      <c r="C17" s="51">
        <v>46312.458333333336</v>
      </c>
      <c r="D17" s="51">
        <v>46310.724999999999</v>
      </c>
      <c r="E17" t="s">
        <v>87</v>
      </c>
      <c r="F17" t="s">
        <v>48</v>
      </c>
      <c r="G17" t="s">
        <v>49</v>
      </c>
      <c r="H17" t="s">
        <v>75</v>
      </c>
      <c r="I17" t="s">
        <v>76</v>
      </c>
      <c r="J17" t="s">
        <v>70</v>
      </c>
      <c r="K17" t="s">
        <v>469</v>
      </c>
      <c r="L17" t="s">
        <v>470</v>
      </c>
      <c r="M17" t="s">
        <v>471</v>
      </c>
      <c r="N17">
        <v>15820054</v>
      </c>
      <c r="O17" t="s">
        <v>52</v>
      </c>
      <c r="P17" t="s">
        <v>472</v>
      </c>
    </row>
    <row r="18" spans="1:16" x14ac:dyDescent="0.3">
      <c r="A18" t="s">
        <v>2335</v>
      </c>
      <c r="B18" t="s">
        <v>47</v>
      </c>
      <c r="C18" s="51">
        <v>46312.458333333336</v>
      </c>
      <c r="D18" s="51">
        <v>46310.702777777777</v>
      </c>
      <c r="E18" t="s">
        <v>87</v>
      </c>
      <c r="F18" t="s">
        <v>48</v>
      </c>
      <c r="G18" t="s">
        <v>49</v>
      </c>
      <c r="H18" t="s">
        <v>50</v>
      </c>
      <c r="I18" t="s">
        <v>66</v>
      </c>
      <c r="J18" t="s">
        <v>51</v>
      </c>
      <c r="K18" t="s">
        <v>469</v>
      </c>
      <c r="L18" t="s">
        <v>470</v>
      </c>
      <c r="M18" t="s">
        <v>471</v>
      </c>
      <c r="N18">
        <v>15820040</v>
      </c>
      <c r="O18" t="s">
        <v>52</v>
      </c>
      <c r="P18" t="s">
        <v>472</v>
      </c>
    </row>
    <row r="19" spans="1:16" x14ac:dyDescent="0.3">
      <c r="A19" t="s">
        <v>2336</v>
      </c>
      <c r="B19" t="s">
        <v>62</v>
      </c>
      <c r="C19" s="51">
        <v>46312.416666666664</v>
      </c>
      <c r="D19" s="51">
        <v>46310.651388888888</v>
      </c>
      <c r="E19" t="s">
        <v>87</v>
      </c>
      <c r="F19" t="s">
        <v>53</v>
      </c>
      <c r="G19" t="s">
        <v>54</v>
      </c>
      <c r="H19" t="s">
        <v>63</v>
      </c>
      <c r="I19" t="s">
        <v>64</v>
      </c>
      <c r="J19" t="s">
        <v>65</v>
      </c>
      <c r="K19" t="s">
        <v>481</v>
      </c>
      <c r="L19" t="s">
        <v>470</v>
      </c>
      <c r="M19" t="s">
        <v>471</v>
      </c>
      <c r="O19" t="s">
        <v>52</v>
      </c>
      <c r="P19" t="s">
        <v>472</v>
      </c>
    </row>
    <row r="20" spans="1:16" x14ac:dyDescent="0.3">
      <c r="A20" t="s">
        <v>2337</v>
      </c>
      <c r="B20" t="s">
        <v>67</v>
      </c>
      <c r="C20" s="51">
        <v>46312.416666666664</v>
      </c>
      <c r="D20" s="51">
        <v>46310.651388888888</v>
      </c>
      <c r="E20" t="s">
        <v>87</v>
      </c>
      <c r="F20" t="s">
        <v>48</v>
      </c>
      <c r="G20" t="s">
        <v>49</v>
      </c>
      <c r="H20" t="s">
        <v>68</v>
      </c>
      <c r="I20" t="s">
        <v>69</v>
      </c>
      <c r="J20" t="s">
        <v>70</v>
      </c>
      <c r="K20" t="s">
        <v>469</v>
      </c>
      <c r="L20" t="s">
        <v>470</v>
      </c>
      <c r="M20" t="s">
        <v>471</v>
      </c>
      <c r="N20">
        <v>15819890</v>
      </c>
      <c r="O20" t="s">
        <v>52</v>
      </c>
      <c r="P20" t="s">
        <v>472</v>
      </c>
    </row>
    <row r="21" spans="1:16" x14ac:dyDescent="0.3">
      <c r="A21" t="s">
        <v>2338</v>
      </c>
      <c r="B21" t="s">
        <v>62</v>
      </c>
      <c r="C21" s="51">
        <v>46312.416666666664</v>
      </c>
      <c r="D21" s="51">
        <v>46310.651388888888</v>
      </c>
      <c r="E21" t="s">
        <v>87</v>
      </c>
      <c r="F21" t="s">
        <v>53</v>
      </c>
      <c r="G21" t="s">
        <v>54</v>
      </c>
      <c r="H21" t="s">
        <v>63</v>
      </c>
      <c r="I21" t="s">
        <v>64</v>
      </c>
      <c r="J21" t="s">
        <v>65</v>
      </c>
      <c r="K21" t="s">
        <v>481</v>
      </c>
      <c r="L21" t="s">
        <v>470</v>
      </c>
      <c r="M21" t="s">
        <v>471</v>
      </c>
      <c r="O21" t="s">
        <v>52</v>
      </c>
      <c r="P21" t="s">
        <v>472</v>
      </c>
    </row>
    <row r="22" spans="1:16" x14ac:dyDescent="0.3">
      <c r="A22" t="s">
        <v>2339</v>
      </c>
      <c r="B22" t="s">
        <v>67</v>
      </c>
      <c r="C22" s="51">
        <v>46312.416666666664</v>
      </c>
      <c r="D22" s="51">
        <v>46310.651388888888</v>
      </c>
      <c r="E22" t="s">
        <v>87</v>
      </c>
      <c r="F22" t="s">
        <v>48</v>
      </c>
      <c r="G22" t="s">
        <v>49</v>
      </c>
      <c r="H22" t="s">
        <v>68</v>
      </c>
      <c r="I22" t="s">
        <v>69</v>
      </c>
      <c r="J22" t="s">
        <v>70</v>
      </c>
      <c r="K22" t="s">
        <v>469</v>
      </c>
      <c r="L22" t="s">
        <v>470</v>
      </c>
      <c r="M22" t="s">
        <v>471</v>
      </c>
      <c r="N22">
        <v>15819882</v>
      </c>
      <c r="O22" t="s">
        <v>52</v>
      </c>
      <c r="P22" t="s">
        <v>472</v>
      </c>
    </row>
    <row r="23" spans="1:16" x14ac:dyDescent="0.3">
      <c r="A23" t="s">
        <v>2340</v>
      </c>
      <c r="B23" t="s">
        <v>62</v>
      </c>
      <c r="C23" s="51">
        <v>46312.416666666664</v>
      </c>
      <c r="D23" s="51">
        <v>46310.635416666664</v>
      </c>
      <c r="E23" t="s">
        <v>87</v>
      </c>
      <c r="F23" t="s">
        <v>53</v>
      </c>
      <c r="G23" t="s">
        <v>54</v>
      </c>
      <c r="H23" t="s">
        <v>63</v>
      </c>
      <c r="I23" t="s">
        <v>64</v>
      </c>
      <c r="J23" t="s">
        <v>65</v>
      </c>
      <c r="K23" t="s">
        <v>481</v>
      </c>
      <c r="L23" t="s">
        <v>470</v>
      </c>
      <c r="M23" t="s">
        <v>471</v>
      </c>
      <c r="O23" t="s">
        <v>52</v>
      </c>
      <c r="P23" t="s">
        <v>472</v>
      </c>
    </row>
    <row r="24" spans="1:16" x14ac:dyDescent="0.3">
      <c r="A24" t="s">
        <v>2341</v>
      </c>
      <c r="B24" t="s">
        <v>67</v>
      </c>
      <c r="C24" s="51">
        <v>46312.416666666664</v>
      </c>
      <c r="D24" s="51">
        <v>46310.634722222225</v>
      </c>
      <c r="E24" t="s">
        <v>87</v>
      </c>
      <c r="F24" t="s">
        <v>48</v>
      </c>
      <c r="G24" t="s">
        <v>49</v>
      </c>
      <c r="H24" t="s">
        <v>68</v>
      </c>
      <c r="I24" t="s">
        <v>69</v>
      </c>
      <c r="J24" t="s">
        <v>70</v>
      </c>
      <c r="K24" t="s">
        <v>469</v>
      </c>
      <c r="L24" t="s">
        <v>470</v>
      </c>
      <c r="M24" t="s">
        <v>471</v>
      </c>
      <c r="N24">
        <v>15819880</v>
      </c>
      <c r="O24" t="s">
        <v>52</v>
      </c>
      <c r="P24" t="s">
        <v>472</v>
      </c>
    </row>
    <row r="25" spans="1:16" x14ac:dyDescent="0.3">
      <c r="A25" t="s">
        <v>2342</v>
      </c>
      <c r="B25" t="s">
        <v>62</v>
      </c>
      <c r="C25" s="51">
        <v>46312.416666666664</v>
      </c>
      <c r="D25" s="51">
        <v>46310.634722222225</v>
      </c>
      <c r="E25" t="s">
        <v>87</v>
      </c>
      <c r="F25" t="s">
        <v>53</v>
      </c>
      <c r="G25" t="s">
        <v>54</v>
      </c>
      <c r="H25" t="s">
        <v>63</v>
      </c>
      <c r="I25" t="s">
        <v>64</v>
      </c>
      <c r="J25" t="s">
        <v>65</v>
      </c>
      <c r="K25" t="s">
        <v>481</v>
      </c>
      <c r="L25" t="s">
        <v>470</v>
      </c>
      <c r="M25" t="s">
        <v>471</v>
      </c>
      <c r="O25" t="s">
        <v>52</v>
      </c>
      <c r="P25" t="s">
        <v>472</v>
      </c>
    </row>
    <row r="26" spans="1:16" x14ac:dyDescent="0.3">
      <c r="A26" t="s">
        <v>2343</v>
      </c>
      <c r="B26" t="s">
        <v>62</v>
      </c>
      <c r="C26" s="51">
        <v>46312.416666666664</v>
      </c>
      <c r="D26" s="51">
        <v>46310.634722222225</v>
      </c>
      <c r="E26" t="s">
        <v>87</v>
      </c>
      <c r="F26" t="s">
        <v>53</v>
      </c>
      <c r="G26" t="s">
        <v>54</v>
      </c>
      <c r="H26" t="s">
        <v>63</v>
      </c>
      <c r="I26" t="s">
        <v>64</v>
      </c>
      <c r="J26" t="s">
        <v>65</v>
      </c>
      <c r="K26" t="s">
        <v>481</v>
      </c>
      <c r="L26" t="s">
        <v>470</v>
      </c>
      <c r="M26" t="s">
        <v>471</v>
      </c>
      <c r="O26" t="s">
        <v>52</v>
      </c>
      <c r="P26" t="s">
        <v>472</v>
      </c>
    </row>
    <row r="27" spans="1:16" x14ac:dyDescent="0.3">
      <c r="A27" t="s">
        <v>2344</v>
      </c>
      <c r="B27" t="s">
        <v>67</v>
      </c>
      <c r="C27" s="51">
        <v>46312.416666666664</v>
      </c>
      <c r="D27" s="51">
        <v>46310.634722222225</v>
      </c>
      <c r="E27" t="s">
        <v>87</v>
      </c>
      <c r="F27" t="s">
        <v>48</v>
      </c>
      <c r="G27" t="s">
        <v>49</v>
      </c>
      <c r="H27" t="s">
        <v>68</v>
      </c>
      <c r="I27" t="s">
        <v>69</v>
      </c>
      <c r="J27" t="s">
        <v>70</v>
      </c>
      <c r="K27" t="s">
        <v>469</v>
      </c>
      <c r="L27" t="s">
        <v>470</v>
      </c>
      <c r="M27" t="s">
        <v>471</v>
      </c>
      <c r="N27">
        <v>15819862</v>
      </c>
      <c r="O27" t="s">
        <v>52</v>
      </c>
      <c r="P27" t="s">
        <v>472</v>
      </c>
    </row>
    <row r="28" spans="1:16" x14ac:dyDescent="0.3">
      <c r="A28" t="s">
        <v>2345</v>
      </c>
      <c r="B28" t="s">
        <v>67</v>
      </c>
      <c r="C28" s="51">
        <v>46312.416666666664</v>
      </c>
      <c r="D28" s="51">
        <v>46310.634722222225</v>
      </c>
      <c r="E28" t="s">
        <v>87</v>
      </c>
      <c r="F28" t="s">
        <v>48</v>
      </c>
      <c r="G28" t="s">
        <v>49</v>
      </c>
      <c r="H28" t="s">
        <v>68</v>
      </c>
      <c r="I28" t="s">
        <v>69</v>
      </c>
      <c r="J28" t="s">
        <v>70</v>
      </c>
      <c r="K28" t="s">
        <v>469</v>
      </c>
      <c r="L28" t="s">
        <v>470</v>
      </c>
      <c r="M28" t="s">
        <v>471</v>
      </c>
      <c r="N28">
        <v>15819840</v>
      </c>
      <c r="O28" t="s">
        <v>52</v>
      </c>
      <c r="P28" t="s">
        <v>472</v>
      </c>
    </row>
    <row r="29" spans="1:16" x14ac:dyDescent="0.3">
      <c r="A29" t="s">
        <v>2346</v>
      </c>
      <c r="B29" t="s">
        <v>62</v>
      </c>
      <c r="C29" s="51">
        <v>46312.291666666664</v>
      </c>
      <c r="D29" s="51">
        <v>46310.62777777778</v>
      </c>
      <c r="E29" t="s">
        <v>87</v>
      </c>
      <c r="F29" t="s">
        <v>53</v>
      </c>
      <c r="G29" t="s">
        <v>54</v>
      </c>
      <c r="H29" t="s">
        <v>63</v>
      </c>
      <c r="I29" t="s">
        <v>64</v>
      </c>
      <c r="J29" t="s">
        <v>65</v>
      </c>
      <c r="K29" t="s">
        <v>481</v>
      </c>
      <c r="L29" t="s">
        <v>470</v>
      </c>
      <c r="M29" t="s">
        <v>485</v>
      </c>
      <c r="O29" t="s">
        <v>52</v>
      </c>
      <c r="P29" t="s">
        <v>472</v>
      </c>
    </row>
    <row r="30" spans="1:16" x14ac:dyDescent="0.3">
      <c r="A30" t="s">
        <v>2347</v>
      </c>
      <c r="B30" t="s">
        <v>62</v>
      </c>
      <c r="C30" s="51">
        <v>46312.291666666664</v>
      </c>
      <c r="D30" s="51">
        <v>46310.62777777778</v>
      </c>
      <c r="E30" t="s">
        <v>87</v>
      </c>
      <c r="F30" t="s">
        <v>53</v>
      </c>
      <c r="G30" t="s">
        <v>54</v>
      </c>
      <c r="H30" t="s">
        <v>63</v>
      </c>
      <c r="I30" t="s">
        <v>64</v>
      </c>
      <c r="J30" t="s">
        <v>65</v>
      </c>
      <c r="K30" t="s">
        <v>481</v>
      </c>
      <c r="L30" t="s">
        <v>470</v>
      </c>
      <c r="M30" t="s">
        <v>485</v>
      </c>
      <c r="O30" t="s">
        <v>52</v>
      </c>
      <c r="P30" t="s">
        <v>472</v>
      </c>
    </row>
    <row r="31" spans="1:16" x14ac:dyDescent="0.3">
      <c r="A31" t="s">
        <v>2348</v>
      </c>
      <c r="B31" t="s">
        <v>62</v>
      </c>
      <c r="C31" s="51">
        <v>46312.291666666664</v>
      </c>
      <c r="D31" s="51">
        <v>46310.62777777778</v>
      </c>
      <c r="E31" t="s">
        <v>87</v>
      </c>
      <c r="F31" t="s">
        <v>53</v>
      </c>
      <c r="G31" t="s">
        <v>54</v>
      </c>
      <c r="H31" t="s">
        <v>63</v>
      </c>
      <c r="I31" t="s">
        <v>64</v>
      </c>
      <c r="J31" t="s">
        <v>65</v>
      </c>
      <c r="K31" t="s">
        <v>481</v>
      </c>
      <c r="L31" t="s">
        <v>470</v>
      </c>
      <c r="M31" t="s">
        <v>485</v>
      </c>
      <c r="O31" t="s">
        <v>52</v>
      </c>
      <c r="P31" t="s">
        <v>472</v>
      </c>
    </row>
    <row r="32" spans="1:16" x14ac:dyDescent="0.3">
      <c r="A32" t="s">
        <v>2349</v>
      </c>
      <c r="B32" t="s">
        <v>62</v>
      </c>
      <c r="C32" s="51">
        <v>46312.291666666664</v>
      </c>
      <c r="D32" s="51">
        <v>46310.62777777778</v>
      </c>
      <c r="E32" t="s">
        <v>87</v>
      </c>
      <c r="F32" t="s">
        <v>53</v>
      </c>
      <c r="G32" t="s">
        <v>54</v>
      </c>
      <c r="H32" t="s">
        <v>63</v>
      </c>
      <c r="I32" t="s">
        <v>64</v>
      </c>
      <c r="J32" t="s">
        <v>65</v>
      </c>
      <c r="K32" t="s">
        <v>481</v>
      </c>
      <c r="L32" t="s">
        <v>470</v>
      </c>
      <c r="M32" t="s">
        <v>485</v>
      </c>
      <c r="O32" t="s">
        <v>52</v>
      </c>
      <c r="P32" t="s">
        <v>472</v>
      </c>
    </row>
    <row r="33" spans="1:16" x14ac:dyDescent="0.3">
      <c r="A33" t="s">
        <v>2350</v>
      </c>
      <c r="B33" t="s">
        <v>62</v>
      </c>
      <c r="C33" s="51">
        <v>46312.291666666664</v>
      </c>
      <c r="D33" s="51">
        <v>46310.62777777778</v>
      </c>
      <c r="E33" t="s">
        <v>87</v>
      </c>
      <c r="F33" t="s">
        <v>53</v>
      </c>
      <c r="G33" t="s">
        <v>54</v>
      </c>
      <c r="H33" t="s">
        <v>63</v>
      </c>
      <c r="I33" t="s">
        <v>64</v>
      </c>
      <c r="J33" t="s">
        <v>65</v>
      </c>
      <c r="K33" t="s">
        <v>481</v>
      </c>
      <c r="L33" t="s">
        <v>470</v>
      </c>
      <c r="M33" t="s">
        <v>485</v>
      </c>
      <c r="O33" t="s">
        <v>52</v>
      </c>
      <c r="P33" t="s">
        <v>472</v>
      </c>
    </row>
    <row r="34" spans="1:16" x14ac:dyDescent="0.3">
      <c r="A34" t="s">
        <v>2351</v>
      </c>
      <c r="B34" t="s">
        <v>62</v>
      </c>
      <c r="C34" s="51">
        <v>46312.291666666664</v>
      </c>
      <c r="D34" s="51">
        <v>46310.62777777778</v>
      </c>
      <c r="E34" t="s">
        <v>87</v>
      </c>
      <c r="F34" t="s">
        <v>53</v>
      </c>
      <c r="G34" t="s">
        <v>54</v>
      </c>
      <c r="H34" t="s">
        <v>63</v>
      </c>
      <c r="I34" t="s">
        <v>64</v>
      </c>
      <c r="J34" t="s">
        <v>65</v>
      </c>
      <c r="K34" t="s">
        <v>481</v>
      </c>
      <c r="L34" t="s">
        <v>470</v>
      </c>
      <c r="M34" t="s">
        <v>485</v>
      </c>
      <c r="O34" t="s">
        <v>52</v>
      </c>
      <c r="P34" t="s">
        <v>472</v>
      </c>
    </row>
    <row r="35" spans="1:16" x14ac:dyDescent="0.3">
      <c r="A35" t="s">
        <v>2352</v>
      </c>
      <c r="B35" t="s">
        <v>62</v>
      </c>
      <c r="C35" s="51">
        <v>46312.291666666664</v>
      </c>
      <c r="D35" s="51">
        <v>46310.62777777778</v>
      </c>
      <c r="E35" t="s">
        <v>87</v>
      </c>
      <c r="F35" t="s">
        <v>53</v>
      </c>
      <c r="G35" t="s">
        <v>54</v>
      </c>
      <c r="H35" t="s">
        <v>63</v>
      </c>
      <c r="I35" t="s">
        <v>64</v>
      </c>
      <c r="J35" t="s">
        <v>65</v>
      </c>
      <c r="K35" t="s">
        <v>481</v>
      </c>
      <c r="L35" t="s">
        <v>470</v>
      </c>
      <c r="M35" t="s">
        <v>485</v>
      </c>
      <c r="O35" t="s">
        <v>52</v>
      </c>
      <c r="P35" t="s">
        <v>472</v>
      </c>
    </row>
    <row r="36" spans="1:16" x14ac:dyDescent="0.3">
      <c r="A36" t="s">
        <v>2353</v>
      </c>
      <c r="B36" t="s">
        <v>62</v>
      </c>
      <c r="C36" s="51">
        <v>46312.291666666664</v>
      </c>
      <c r="D36" s="51">
        <v>46310.62777777778</v>
      </c>
      <c r="E36" t="s">
        <v>87</v>
      </c>
      <c r="F36" t="s">
        <v>53</v>
      </c>
      <c r="G36" t="s">
        <v>54</v>
      </c>
      <c r="H36" t="s">
        <v>63</v>
      </c>
      <c r="I36" t="s">
        <v>64</v>
      </c>
      <c r="J36" t="s">
        <v>65</v>
      </c>
      <c r="K36" t="s">
        <v>481</v>
      </c>
      <c r="L36" t="s">
        <v>470</v>
      </c>
      <c r="M36" t="s">
        <v>485</v>
      </c>
      <c r="O36" t="s">
        <v>52</v>
      </c>
      <c r="P36" t="s">
        <v>472</v>
      </c>
    </row>
    <row r="37" spans="1:16" x14ac:dyDescent="0.3">
      <c r="A37" t="s">
        <v>2354</v>
      </c>
      <c r="B37" t="s">
        <v>62</v>
      </c>
      <c r="C37" s="51">
        <v>46312.291666666664</v>
      </c>
      <c r="D37" s="51">
        <v>46310.62777777778</v>
      </c>
      <c r="E37" t="s">
        <v>87</v>
      </c>
      <c r="F37" t="s">
        <v>53</v>
      </c>
      <c r="G37" t="s">
        <v>54</v>
      </c>
      <c r="H37" t="s">
        <v>63</v>
      </c>
      <c r="I37" t="s">
        <v>64</v>
      </c>
      <c r="J37" t="s">
        <v>65</v>
      </c>
      <c r="K37" t="s">
        <v>481</v>
      </c>
      <c r="L37" t="s">
        <v>470</v>
      </c>
      <c r="M37" t="s">
        <v>485</v>
      </c>
      <c r="O37" t="s">
        <v>52</v>
      </c>
      <c r="P37" t="s">
        <v>472</v>
      </c>
    </row>
    <row r="38" spans="1:16" x14ac:dyDescent="0.3">
      <c r="A38" t="s">
        <v>2355</v>
      </c>
      <c r="B38" t="s">
        <v>62</v>
      </c>
      <c r="C38" s="51">
        <v>46312.291666666664</v>
      </c>
      <c r="D38" s="51">
        <v>46310.627083333333</v>
      </c>
      <c r="E38" t="s">
        <v>87</v>
      </c>
      <c r="F38" t="s">
        <v>53</v>
      </c>
      <c r="G38" t="s">
        <v>54</v>
      </c>
      <c r="H38" t="s">
        <v>63</v>
      </c>
      <c r="I38" t="s">
        <v>64</v>
      </c>
      <c r="J38" t="s">
        <v>65</v>
      </c>
      <c r="K38" t="s">
        <v>481</v>
      </c>
      <c r="L38" t="s">
        <v>470</v>
      </c>
      <c r="M38" t="s">
        <v>485</v>
      </c>
      <c r="O38" t="s">
        <v>52</v>
      </c>
      <c r="P38" t="s">
        <v>472</v>
      </c>
    </row>
    <row r="39" spans="1:16" x14ac:dyDescent="0.3">
      <c r="A39" t="s">
        <v>2356</v>
      </c>
      <c r="B39" t="s">
        <v>62</v>
      </c>
      <c r="C39" s="51">
        <v>46312.416666666664</v>
      </c>
      <c r="D39" s="51">
        <v>46310.621527777781</v>
      </c>
      <c r="E39" t="s">
        <v>87</v>
      </c>
      <c r="F39" t="s">
        <v>53</v>
      </c>
      <c r="G39" t="s">
        <v>54</v>
      </c>
      <c r="H39" t="s">
        <v>63</v>
      </c>
      <c r="I39" t="s">
        <v>64</v>
      </c>
      <c r="J39" t="s">
        <v>65</v>
      </c>
      <c r="K39" t="s">
        <v>481</v>
      </c>
      <c r="L39" t="s">
        <v>470</v>
      </c>
      <c r="M39" t="s">
        <v>471</v>
      </c>
      <c r="O39" t="s">
        <v>52</v>
      </c>
      <c r="P39" t="s">
        <v>472</v>
      </c>
    </row>
    <row r="40" spans="1:16" x14ac:dyDescent="0.3">
      <c r="A40" t="s">
        <v>2357</v>
      </c>
      <c r="B40" t="s">
        <v>74</v>
      </c>
      <c r="C40" s="51">
        <v>46312.416666666664</v>
      </c>
      <c r="D40" s="51">
        <v>46310.619444444441</v>
      </c>
      <c r="E40" t="s">
        <v>87</v>
      </c>
      <c r="F40" t="s">
        <v>48</v>
      </c>
      <c r="G40" t="s">
        <v>49</v>
      </c>
      <c r="H40" t="s">
        <v>75</v>
      </c>
      <c r="I40" t="s">
        <v>139</v>
      </c>
      <c r="J40" t="s">
        <v>70</v>
      </c>
      <c r="K40" t="s">
        <v>469</v>
      </c>
      <c r="L40" t="s">
        <v>470</v>
      </c>
      <c r="M40" t="s">
        <v>471</v>
      </c>
      <c r="O40" t="s">
        <v>52</v>
      </c>
      <c r="P40" t="s">
        <v>472</v>
      </c>
    </row>
    <row r="41" spans="1:16" x14ac:dyDescent="0.3">
      <c r="A41" t="s">
        <v>2358</v>
      </c>
      <c r="B41" t="s">
        <v>62</v>
      </c>
      <c r="C41" s="51">
        <v>46312.375</v>
      </c>
      <c r="D41" s="51">
        <v>46310.618055555555</v>
      </c>
      <c r="E41" t="s">
        <v>87</v>
      </c>
      <c r="F41" t="s">
        <v>53</v>
      </c>
      <c r="G41" t="s">
        <v>54</v>
      </c>
      <c r="H41" t="s">
        <v>63</v>
      </c>
      <c r="I41" t="s">
        <v>64</v>
      </c>
      <c r="J41" t="s">
        <v>65</v>
      </c>
      <c r="K41" t="s">
        <v>481</v>
      </c>
      <c r="L41" t="s">
        <v>470</v>
      </c>
      <c r="M41" t="s">
        <v>471</v>
      </c>
      <c r="O41" t="s">
        <v>52</v>
      </c>
      <c r="P41" t="s">
        <v>472</v>
      </c>
    </row>
    <row r="42" spans="1:16" x14ac:dyDescent="0.3">
      <c r="A42" t="s">
        <v>2359</v>
      </c>
      <c r="B42" t="s">
        <v>62</v>
      </c>
      <c r="C42" s="51">
        <v>46312.375</v>
      </c>
      <c r="D42" s="51">
        <v>46310.616666666669</v>
      </c>
      <c r="E42" t="s">
        <v>87</v>
      </c>
      <c r="F42" t="s">
        <v>53</v>
      </c>
      <c r="G42" t="s">
        <v>54</v>
      </c>
      <c r="H42" t="s">
        <v>63</v>
      </c>
      <c r="I42" t="s">
        <v>64</v>
      </c>
      <c r="J42" t="s">
        <v>65</v>
      </c>
      <c r="K42" t="s">
        <v>481</v>
      </c>
      <c r="L42" t="s">
        <v>470</v>
      </c>
      <c r="M42" t="s">
        <v>471</v>
      </c>
      <c r="O42" t="s">
        <v>52</v>
      </c>
      <c r="P42" t="s">
        <v>472</v>
      </c>
    </row>
    <row r="43" spans="1:16" x14ac:dyDescent="0.3">
      <c r="A43" t="s">
        <v>2360</v>
      </c>
      <c r="B43" t="s">
        <v>62</v>
      </c>
      <c r="C43" s="51">
        <v>46312.375</v>
      </c>
      <c r="D43" s="51">
        <v>46310.615972222222</v>
      </c>
      <c r="E43" t="s">
        <v>87</v>
      </c>
      <c r="F43" t="s">
        <v>53</v>
      </c>
      <c r="G43" t="s">
        <v>54</v>
      </c>
      <c r="H43" t="s">
        <v>63</v>
      </c>
      <c r="I43" t="s">
        <v>64</v>
      </c>
      <c r="J43" t="s">
        <v>65</v>
      </c>
      <c r="K43" t="s">
        <v>481</v>
      </c>
      <c r="L43" t="s">
        <v>470</v>
      </c>
      <c r="M43" t="s">
        <v>471</v>
      </c>
      <c r="O43" t="s">
        <v>52</v>
      </c>
      <c r="P43" t="s">
        <v>472</v>
      </c>
    </row>
    <row r="44" spans="1:16" x14ac:dyDescent="0.3">
      <c r="A44" t="s">
        <v>2361</v>
      </c>
      <c r="B44" t="s">
        <v>62</v>
      </c>
      <c r="C44" s="51">
        <v>46312.375</v>
      </c>
      <c r="D44" s="51">
        <v>46310.615972222222</v>
      </c>
      <c r="E44" t="s">
        <v>87</v>
      </c>
      <c r="F44" t="s">
        <v>53</v>
      </c>
      <c r="G44" t="s">
        <v>54</v>
      </c>
      <c r="H44" t="s">
        <v>63</v>
      </c>
      <c r="I44" t="s">
        <v>64</v>
      </c>
      <c r="J44" t="s">
        <v>65</v>
      </c>
      <c r="K44" t="s">
        <v>481</v>
      </c>
      <c r="L44" t="s">
        <v>470</v>
      </c>
      <c r="M44" t="s">
        <v>471</v>
      </c>
      <c r="O44" t="s">
        <v>52</v>
      </c>
      <c r="P44" t="s">
        <v>472</v>
      </c>
    </row>
    <row r="45" spans="1:16" x14ac:dyDescent="0.3">
      <c r="A45" t="s">
        <v>2362</v>
      </c>
      <c r="B45" t="s">
        <v>62</v>
      </c>
      <c r="C45" s="51">
        <v>46312.375</v>
      </c>
      <c r="D45" s="51">
        <v>46310.615972222222</v>
      </c>
      <c r="E45" t="s">
        <v>87</v>
      </c>
      <c r="F45" t="s">
        <v>53</v>
      </c>
      <c r="G45" t="s">
        <v>54</v>
      </c>
      <c r="H45" t="s">
        <v>63</v>
      </c>
      <c r="I45" t="s">
        <v>64</v>
      </c>
      <c r="J45" t="s">
        <v>65</v>
      </c>
      <c r="K45" t="s">
        <v>481</v>
      </c>
      <c r="L45" t="s">
        <v>470</v>
      </c>
      <c r="M45" t="s">
        <v>471</v>
      </c>
      <c r="O45" t="s">
        <v>52</v>
      </c>
      <c r="P45" t="s">
        <v>472</v>
      </c>
    </row>
    <row r="46" spans="1:16" x14ac:dyDescent="0.3">
      <c r="A46" t="s">
        <v>2363</v>
      </c>
      <c r="B46" t="s">
        <v>62</v>
      </c>
      <c r="C46" s="51">
        <v>46312.375</v>
      </c>
      <c r="D46" s="51">
        <v>46310.615972222222</v>
      </c>
      <c r="E46" t="s">
        <v>87</v>
      </c>
      <c r="F46" t="s">
        <v>53</v>
      </c>
      <c r="G46" t="s">
        <v>54</v>
      </c>
      <c r="H46" t="s">
        <v>63</v>
      </c>
      <c r="I46" t="s">
        <v>64</v>
      </c>
      <c r="J46" t="s">
        <v>65</v>
      </c>
      <c r="K46" t="s">
        <v>481</v>
      </c>
      <c r="L46" t="s">
        <v>470</v>
      </c>
      <c r="M46" t="s">
        <v>471</v>
      </c>
      <c r="O46" t="s">
        <v>52</v>
      </c>
      <c r="P46" t="s">
        <v>472</v>
      </c>
    </row>
    <row r="47" spans="1:16" x14ac:dyDescent="0.3">
      <c r="A47" t="s">
        <v>2364</v>
      </c>
      <c r="B47" t="s">
        <v>62</v>
      </c>
      <c r="C47" s="51">
        <v>46312.375</v>
      </c>
      <c r="D47" s="51">
        <v>46310.615972222222</v>
      </c>
      <c r="E47" t="s">
        <v>87</v>
      </c>
      <c r="F47" t="s">
        <v>53</v>
      </c>
      <c r="G47" t="s">
        <v>54</v>
      </c>
      <c r="H47" t="s">
        <v>63</v>
      </c>
      <c r="I47" t="s">
        <v>64</v>
      </c>
      <c r="J47" t="s">
        <v>65</v>
      </c>
      <c r="K47" t="s">
        <v>481</v>
      </c>
      <c r="L47" t="s">
        <v>470</v>
      </c>
      <c r="M47" t="s">
        <v>471</v>
      </c>
      <c r="O47" t="s">
        <v>52</v>
      </c>
      <c r="P47" t="s">
        <v>472</v>
      </c>
    </row>
    <row r="48" spans="1:16" x14ac:dyDescent="0.3">
      <c r="A48" t="s">
        <v>2365</v>
      </c>
      <c r="B48" t="s">
        <v>62</v>
      </c>
      <c r="C48" s="51">
        <v>46312.375</v>
      </c>
      <c r="D48" s="51">
        <v>46310.615972222222</v>
      </c>
      <c r="E48" t="s">
        <v>87</v>
      </c>
      <c r="F48" t="s">
        <v>53</v>
      </c>
      <c r="G48" t="s">
        <v>54</v>
      </c>
      <c r="H48" t="s">
        <v>63</v>
      </c>
      <c r="I48" t="s">
        <v>64</v>
      </c>
      <c r="J48" t="s">
        <v>65</v>
      </c>
      <c r="K48" t="s">
        <v>481</v>
      </c>
      <c r="L48" t="s">
        <v>470</v>
      </c>
      <c r="M48" t="s">
        <v>471</v>
      </c>
      <c r="O48" t="s">
        <v>52</v>
      </c>
      <c r="P48" t="s">
        <v>472</v>
      </c>
    </row>
    <row r="49" spans="1:16" x14ac:dyDescent="0.3">
      <c r="A49" t="s">
        <v>2366</v>
      </c>
      <c r="B49" t="s">
        <v>62</v>
      </c>
      <c r="C49" s="51">
        <v>46312.333333333336</v>
      </c>
      <c r="D49" s="51">
        <v>46310.615972222222</v>
      </c>
      <c r="E49" t="s">
        <v>87</v>
      </c>
      <c r="F49" t="s">
        <v>53</v>
      </c>
      <c r="G49" t="s">
        <v>54</v>
      </c>
      <c r="H49" t="s">
        <v>63</v>
      </c>
      <c r="I49" t="s">
        <v>64</v>
      </c>
      <c r="J49" t="s">
        <v>65</v>
      </c>
      <c r="K49" t="s">
        <v>481</v>
      </c>
      <c r="L49" t="s">
        <v>470</v>
      </c>
      <c r="M49" t="s">
        <v>471</v>
      </c>
      <c r="O49" t="s">
        <v>52</v>
      </c>
      <c r="P49" t="s">
        <v>472</v>
      </c>
    </row>
    <row r="50" spans="1:16" x14ac:dyDescent="0.3">
      <c r="A50" t="s">
        <v>2367</v>
      </c>
      <c r="B50" t="s">
        <v>62</v>
      </c>
      <c r="C50" s="51">
        <v>46312.333333333336</v>
      </c>
      <c r="D50" s="51">
        <v>46310.615972222222</v>
      </c>
      <c r="E50" t="s">
        <v>87</v>
      </c>
      <c r="F50" t="s">
        <v>53</v>
      </c>
      <c r="G50" t="s">
        <v>54</v>
      </c>
      <c r="H50" t="s">
        <v>63</v>
      </c>
      <c r="I50" t="s">
        <v>64</v>
      </c>
      <c r="J50" t="s">
        <v>65</v>
      </c>
      <c r="K50" t="s">
        <v>481</v>
      </c>
      <c r="L50" t="s">
        <v>470</v>
      </c>
      <c r="M50" t="s">
        <v>471</v>
      </c>
      <c r="O50" t="s">
        <v>52</v>
      </c>
      <c r="P50" t="s">
        <v>472</v>
      </c>
    </row>
    <row r="51" spans="1:16" x14ac:dyDescent="0.3">
      <c r="A51" t="s">
        <v>2368</v>
      </c>
      <c r="B51" t="s">
        <v>113</v>
      </c>
      <c r="C51" s="51">
        <v>46312.375</v>
      </c>
      <c r="D51" s="51">
        <v>46310.615277777775</v>
      </c>
      <c r="E51" t="s">
        <v>87</v>
      </c>
      <c r="F51" t="s">
        <v>48</v>
      </c>
      <c r="G51" t="s">
        <v>49</v>
      </c>
      <c r="H51" t="s">
        <v>114</v>
      </c>
      <c r="I51" t="s">
        <v>115</v>
      </c>
      <c r="J51" t="s">
        <v>116</v>
      </c>
      <c r="K51" t="s">
        <v>469</v>
      </c>
      <c r="L51" t="s">
        <v>470</v>
      </c>
      <c r="M51" t="s">
        <v>471</v>
      </c>
      <c r="O51" t="s">
        <v>52</v>
      </c>
      <c r="P51" t="s">
        <v>472</v>
      </c>
    </row>
    <row r="52" spans="1:16" x14ac:dyDescent="0.3">
      <c r="A52" t="s">
        <v>2369</v>
      </c>
      <c r="B52" t="s">
        <v>113</v>
      </c>
      <c r="C52" s="51">
        <v>46312.375</v>
      </c>
      <c r="D52" s="51">
        <v>46310.615277777775</v>
      </c>
      <c r="E52" t="s">
        <v>87</v>
      </c>
      <c r="F52" t="s">
        <v>48</v>
      </c>
      <c r="G52" t="s">
        <v>49</v>
      </c>
      <c r="H52" t="s">
        <v>114</v>
      </c>
      <c r="I52" t="s">
        <v>115</v>
      </c>
      <c r="J52" t="s">
        <v>116</v>
      </c>
      <c r="K52" t="s">
        <v>469</v>
      </c>
      <c r="L52" t="s">
        <v>470</v>
      </c>
      <c r="M52" t="s">
        <v>471</v>
      </c>
      <c r="O52" t="s">
        <v>52</v>
      </c>
      <c r="P52" t="s">
        <v>472</v>
      </c>
    </row>
    <row r="53" spans="1:16" x14ac:dyDescent="0.3">
      <c r="A53" t="s">
        <v>2370</v>
      </c>
      <c r="B53" t="s">
        <v>113</v>
      </c>
      <c r="C53" s="51">
        <v>46312.375</v>
      </c>
      <c r="D53" s="51">
        <v>46310.615277777775</v>
      </c>
      <c r="E53" t="s">
        <v>87</v>
      </c>
      <c r="F53" t="s">
        <v>48</v>
      </c>
      <c r="G53" t="s">
        <v>49</v>
      </c>
      <c r="H53" t="s">
        <v>114</v>
      </c>
      <c r="I53" t="s">
        <v>115</v>
      </c>
      <c r="J53" t="s">
        <v>116</v>
      </c>
      <c r="K53" t="s">
        <v>469</v>
      </c>
      <c r="L53" t="s">
        <v>470</v>
      </c>
      <c r="M53" t="s">
        <v>471</v>
      </c>
      <c r="O53" t="s">
        <v>52</v>
      </c>
      <c r="P53" t="s">
        <v>472</v>
      </c>
    </row>
    <row r="54" spans="1:16" x14ac:dyDescent="0.3">
      <c r="A54" t="s">
        <v>2371</v>
      </c>
      <c r="B54" t="s">
        <v>113</v>
      </c>
      <c r="C54" s="51">
        <v>46312.333333333336</v>
      </c>
      <c r="D54" s="51">
        <v>46310.615277777775</v>
      </c>
      <c r="E54" t="s">
        <v>87</v>
      </c>
      <c r="F54" t="s">
        <v>48</v>
      </c>
      <c r="G54" t="s">
        <v>49</v>
      </c>
      <c r="H54" t="s">
        <v>114</v>
      </c>
      <c r="I54" t="s">
        <v>115</v>
      </c>
      <c r="J54" t="s">
        <v>116</v>
      </c>
      <c r="K54" t="s">
        <v>469</v>
      </c>
      <c r="L54" t="s">
        <v>470</v>
      </c>
      <c r="M54" t="s">
        <v>471</v>
      </c>
      <c r="O54" t="s">
        <v>52</v>
      </c>
      <c r="P54" t="s">
        <v>472</v>
      </c>
    </row>
    <row r="55" spans="1:16" x14ac:dyDescent="0.3">
      <c r="A55" t="s">
        <v>2372</v>
      </c>
      <c r="B55" t="s">
        <v>62</v>
      </c>
      <c r="C55" s="51">
        <v>46312.375</v>
      </c>
      <c r="D55" s="51">
        <v>46310.615277777775</v>
      </c>
      <c r="E55" t="s">
        <v>87</v>
      </c>
      <c r="F55" t="s">
        <v>53</v>
      </c>
      <c r="G55" t="s">
        <v>54</v>
      </c>
      <c r="H55" t="s">
        <v>63</v>
      </c>
      <c r="I55" t="s">
        <v>64</v>
      </c>
      <c r="J55" t="s">
        <v>65</v>
      </c>
      <c r="K55" t="s">
        <v>481</v>
      </c>
      <c r="L55" t="s">
        <v>470</v>
      </c>
      <c r="M55" t="s">
        <v>471</v>
      </c>
      <c r="O55" t="s">
        <v>52</v>
      </c>
      <c r="P55" t="s">
        <v>472</v>
      </c>
    </row>
    <row r="56" spans="1:16" x14ac:dyDescent="0.3">
      <c r="A56" t="s">
        <v>2373</v>
      </c>
      <c r="B56" t="s">
        <v>113</v>
      </c>
      <c r="C56" s="51">
        <v>46312.333333333336</v>
      </c>
      <c r="D56" s="51">
        <v>46310.615277777775</v>
      </c>
      <c r="E56" t="s">
        <v>87</v>
      </c>
      <c r="F56" t="s">
        <v>48</v>
      </c>
      <c r="G56" t="s">
        <v>49</v>
      </c>
      <c r="H56" t="s">
        <v>114</v>
      </c>
      <c r="I56" t="s">
        <v>115</v>
      </c>
      <c r="J56" t="s">
        <v>116</v>
      </c>
      <c r="K56" t="s">
        <v>469</v>
      </c>
      <c r="L56" t="s">
        <v>470</v>
      </c>
      <c r="M56" t="s">
        <v>471</v>
      </c>
      <c r="O56" t="s">
        <v>52</v>
      </c>
      <c r="P56" t="s">
        <v>472</v>
      </c>
    </row>
    <row r="57" spans="1:16" x14ac:dyDescent="0.3">
      <c r="A57" t="s">
        <v>2374</v>
      </c>
      <c r="B57" t="s">
        <v>113</v>
      </c>
      <c r="C57" s="51">
        <v>46312.333333333336</v>
      </c>
      <c r="D57" s="51">
        <v>46310.615277777775</v>
      </c>
      <c r="E57" t="s">
        <v>87</v>
      </c>
      <c r="F57" t="s">
        <v>48</v>
      </c>
      <c r="G57" t="s">
        <v>49</v>
      </c>
      <c r="H57" t="s">
        <v>114</v>
      </c>
      <c r="I57" t="s">
        <v>115</v>
      </c>
      <c r="J57" t="s">
        <v>116</v>
      </c>
      <c r="K57" t="s">
        <v>469</v>
      </c>
      <c r="L57" t="s">
        <v>470</v>
      </c>
      <c r="M57" t="s">
        <v>471</v>
      </c>
      <c r="O57" t="s">
        <v>52</v>
      </c>
      <c r="P57" t="s">
        <v>472</v>
      </c>
    </row>
    <row r="58" spans="1:16" x14ac:dyDescent="0.3">
      <c r="A58" t="s">
        <v>2375</v>
      </c>
      <c r="B58" t="s">
        <v>67</v>
      </c>
      <c r="C58" s="51">
        <v>46312.416666666664</v>
      </c>
      <c r="D58" s="51">
        <v>46310.615277777775</v>
      </c>
      <c r="E58" t="s">
        <v>87</v>
      </c>
      <c r="F58" t="s">
        <v>48</v>
      </c>
      <c r="G58" t="s">
        <v>49</v>
      </c>
      <c r="H58" t="s">
        <v>68</v>
      </c>
      <c r="I58" t="s">
        <v>69</v>
      </c>
      <c r="J58" t="s">
        <v>70</v>
      </c>
      <c r="K58" t="s">
        <v>469</v>
      </c>
      <c r="L58" t="s">
        <v>470</v>
      </c>
      <c r="M58" t="s">
        <v>471</v>
      </c>
      <c r="N58">
        <v>15819650</v>
      </c>
      <c r="O58" t="s">
        <v>52</v>
      </c>
      <c r="P58" t="s">
        <v>472</v>
      </c>
    </row>
    <row r="59" spans="1:16" x14ac:dyDescent="0.3">
      <c r="A59" t="s">
        <v>2376</v>
      </c>
      <c r="B59" t="s">
        <v>113</v>
      </c>
      <c r="C59" s="51">
        <v>46312.333333333336</v>
      </c>
      <c r="D59" s="51">
        <v>46310.615277777775</v>
      </c>
      <c r="E59" t="s">
        <v>87</v>
      </c>
      <c r="F59" t="s">
        <v>48</v>
      </c>
      <c r="G59" t="s">
        <v>49</v>
      </c>
      <c r="H59" t="s">
        <v>114</v>
      </c>
      <c r="I59" t="s">
        <v>115</v>
      </c>
      <c r="J59" t="s">
        <v>116</v>
      </c>
      <c r="K59" t="s">
        <v>469</v>
      </c>
      <c r="L59" t="s">
        <v>470</v>
      </c>
      <c r="M59" t="s">
        <v>471</v>
      </c>
      <c r="O59" t="s">
        <v>52</v>
      </c>
      <c r="P59" t="s">
        <v>472</v>
      </c>
    </row>
    <row r="60" spans="1:16" x14ac:dyDescent="0.3">
      <c r="A60" t="s">
        <v>2377</v>
      </c>
      <c r="B60" t="s">
        <v>113</v>
      </c>
      <c r="C60" s="51">
        <v>46312.333333333336</v>
      </c>
      <c r="D60" s="51">
        <v>46310.615277777775</v>
      </c>
      <c r="E60" t="s">
        <v>87</v>
      </c>
      <c r="F60" t="s">
        <v>48</v>
      </c>
      <c r="G60" t="s">
        <v>49</v>
      </c>
      <c r="H60" t="s">
        <v>114</v>
      </c>
      <c r="I60" t="s">
        <v>115</v>
      </c>
      <c r="J60" t="s">
        <v>116</v>
      </c>
      <c r="K60" t="s">
        <v>469</v>
      </c>
      <c r="L60" t="s">
        <v>470</v>
      </c>
      <c r="M60" t="s">
        <v>471</v>
      </c>
      <c r="O60" t="s">
        <v>52</v>
      </c>
      <c r="P60" t="s">
        <v>472</v>
      </c>
    </row>
    <row r="61" spans="1:16" x14ac:dyDescent="0.3">
      <c r="A61" t="s">
        <v>2378</v>
      </c>
      <c r="B61" t="s">
        <v>113</v>
      </c>
      <c r="C61" s="51">
        <v>46312.333333333336</v>
      </c>
      <c r="D61" s="51">
        <v>46310.615277777775</v>
      </c>
      <c r="E61" t="s">
        <v>87</v>
      </c>
      <c r="F61" t="s">
        <v>48</v>
      </c>
      <c r="G61" t="s">
        <v>49</v>
      </c>
      <c r="H61" t="s">
        <v>114</v>
      </c>
      <c r="I61" t="s">
        <v>115</v>
      </c>
      <c r="J61" t="s">
        <v>116</v>
      </c>
      <c r="K61" t="s">
        <v>469</v>
      </c>
      <c r="L61" t="s">
        <v>470</v>
      </c>
      <c r="M61" t="s">
        <v>471</v>
      </c>
      <c r="O61" t="s">
        <v>52</v>
      </c>
      <c r="P61" t="s">
        <v>472</v>
      </c>
    </row>
    <row r="62" spans="1:16" x14ac:dyDescent="0.3">
      <c r="A62" t="s">
        <v>2379</v>
      </c>
      <c r="B62" t="s">
        <v>113</v>
      </c>
      <c r="C62" s="51">
        <v>46312.333333333336</v>
      </c>
      <c r="D62" s="51">
        <v>46310.615277777775</v>
      </c>
      <c r="E62" t="s">
        <v>87</v>
      </c>
      <c r="F62" t="s">
        <v>48</v>
      </c>
      <c r="G62" t="s">
        <v>49</v>
      </c>
      <c r="H62" t="s">
        <v>114</v>
      </c>
      <c r="I62" t="s">
        <v>115</v>
      </c>
      <c r="J62" t="s">
        <v>116</v>
      </c>
      <c r="K62" t="s">
        <v>469</v>
      </c>
      <c r="L62" t="s">
        <v>470</v>
      </c>
      <c r="M62" t="s">
        <v>471</v>
      </c>
      <c r="O62" t="s">
        <v>52</v>
      </c>
      <c r="P62" t="s">
        <v>472</v>
      </c>
    </row>
    <row r="63" spans="1:16" x14ac:dyDescent="0.3">
      <c r="A63" t="s">
        <v>2380</v>
      </c>
      <c r="B63" t="s">
        <v>62</v>
      </c>
      <c r="C63" s="51">
        <v>46311.583333333336</v>
      </c>
      <c r="D63" s="51">
        <v>46310.536111111112</v>
      </c>
      <c r="E63" t="s">
        <v>87</v>
      </c>
      <c r="F63" t="s">
        <v>53</v>
      </c>
      <c r="G63" t="s">
        <v>54</v>
      </c>
      <c r="H63" t="s">
        <v>63</v>
      </c>
      <c r="I63" t="s">
        <v>64</v>
      </c>
      <c r="J63" t="s">
        <v>65</v>
      </c>
      <c r="K63" t="s">
        <v>481</v>
      </c>
      <c r="L63" t="s">
        <v>470</v>
      </c>
      <c r="M63" t="s">
        <v>471</v>
      </c>
      <c r="O63" t="s">
        <v>52</v>
      </c>
      <c r="P63" t="s">
        <v>472</v>
      </c>
    </row>
    <row r="64" spans="1:16" x14ac:dyDescent="0.3">
      <c r="A64" t="s">
        <v>2381</v>
      </c>
      <c r="B64" t="s">
        <v>47</v>
      </c>
      <c r="C64" s="51">
        <v>46311.625</v>
      </c>
      <c r="D64" s="51">
        <v>46310.536111111112</v>
      </c>
      <c r="E64" t="s">
        <v>87</v>
      </c>
      <c r="F64" t="s">
        <v>48</v>
      </c>
      <c r="G64" t="s">
        <v>49</v>
      </c>
      <c r="H64" t="s">
        <v>50</v>
      </c>
      <c r="I64" t="s">
        <v>66</v>
      </c>
      <c r="J64" t="s">
        <v>51</v>
      </c>
      <c r="K64" t="s">
        <v>469</v>
      </c>
      <c r="L64" t="s">
        <v>470</v>
      </c>
      <c r="M64" t="s">
        <v>471</v>
      </c>
      <c r="N64">
        <v>15813086</v>
      </c>
      <c r="O64" t="s">
        <v>52</v>
      </c>
      <c r="P64" t="s">
        <v>472</v>
      </c>
    </row>
    <row r="65" spans="1:16" x14ac:dyDescent="0.3">
      <c r="A65" t="s">
        <v>2382</v>
      </c>
      <c r="B65" t="s">
        <v>62</v>
      </c>
      <c r="C65" s="51">
        <v>46311.5</v>
      </c>
      <c r="D65" s="51">
        <v>46310.425694444442</v>
      </c>
      <c r="E65" t="s">
        <v>87</v>
      </c>
      <c r="F65" t="s">
        <v>53</v>
      </c>
      <c r="G65" t="s">
        <v>54</v>
      </c>
      <c r="H65" t="s">
        <v>63</v>
      </c>
      <c r="I65" t="s">
        <v>64</v>
      </c>
      <c r="J65" t="s">
        <v>65</v>
      </c>
      <c r="K65" t="s">
        <v>481</v>
      </c>
      <c r="L65" t="s">
        <v>470</v>
      </c>
      <c r="M65" t="s">
        <v>471</v>
      </c>
      <c r="O65" t="s">
        <v>52</v>
      </c>
      <c r="P65" t="s">
        <v>472</v>
      </c>
    </row>
    <row r="66" spans="1:16" x14ac:dyDescent="0.3">
      <c r="A66" t="s">
        <v>2383</v>
      </c>
      <c r="B66" t="s">
        <v>71</v>
      </c>
      <c r="C66" s="51">
        <v>46311.541666666664</v>
      </c>
      <c r="D66" s="51">
        <v>46310.424305555556</v>
      </c>
      <c r="E66" t="s">
        <v>87</v>
      </c>
      <c r="F66" t="s">
        <v>48</v>
      </c>
      <c r="G66" t="s">
        <v>49</v>
      </c>
      <c r="H66" t="s">
        <v>72</v>
      </c>
      <c r="I66" t="s">
        <v>73</v>
      </c>
      <c r="J66" t="s">
        <v>70</v>
      </c>
      <c r="K66" t="s">
        <v>469</v>
      </c>
      <c r="L66" t="s">
        <v>470</v>
      </c>
      <c r="M66" t="s">
        <v>471</v>
      </c>
      <c r="N66">
        <v>15812288</v>
      </c>
      <c r="O66" t="s">
        <v>52</v>
      </c>
      <c r="P66" t="s">
        <v>472</v>
      </c>
    </row>
    <row r="67" spans="1:16" x14ac:dyDescent="0.3">
      <c r="A67" t="s">
        <v>2384</v>
      </c>
      <c r="B67" t="s">
        <v>62</v>
      </c>
      <c r="C67" s="51">
        <v>46311.458333333336</v>
      </c>
      <c r="D67" s="51">
        <v>46310.419444444444</v>
      </c>
      <c r="E67" t="s">
        <v>87</v>
      </c>
      <c r="F67" t="s">
        <v>53</v>
      </c>
      <c r="G67" t="s">
        <v>54</v>
      </c>
      <c r="H67" t="s">
        <v>63</v>
      </c>
      <c r="I67" t="s">
        <v>64</v>
      </c>
      <c r="J67" t="s">
        <v>65</v>
      </c>
      <c r="K67" t="s">
        <v>481</v>
      </c>
      <c r="L67" t="s">
        <v>470</v>
      </c>
      <c r="M67" t="s">
        <v>485</v>
      </c>
      <c r="O67" t="s">
        <v>52</v>
      </c>
      <c r="P67" t="s">
        <v>472</v>
      </c>
    </row>
    <row r="68" spans="1:16" x14ac:dyDescent="0.3">
      <c r="A68" t="s">
        <v>2385</v>
      </c>
      <c r="B68" t="s">
        <v>62</v>
      </c>
      <c r="C68" s="51">
        <v>46311.458333333336</v>
      </c>
      <c r="D68" s="51">
        <v>46310.419444444444</v>
      </c>
      <c r="E68" t="s">
        <v>87</v>
      </c>
      <c r="F68" t="s">
        <v>53</v>
      </c>
      <c r="G68" t="s">
        <v>54</v>
      </c>
      <c r="H68" t="s">
        <v>63</v>
      </c>
      <c r="I68" t="s">
        <v>64</v>
      </c>
      <c r="J68" t="s">
        <v>65</v>
      </c>
      <c r="K68" t="s">
        <v>481</v>
      </c>
      <c r="L68" t="s">
        <v>470</v>
      </c>
      <c r="M68" t="s">
        <v>485</v>
      </c>
      <c r="O68" t="s">
        <v>52</v>
      </c>
      <c r="P68" t="s">
        <v>472</v>
      </c>
    </row>
    <row r="69" spans="1:16" x14ac:dyDescent="0.3">
      <c r="A69" t="s">
        <v>2386</v>
      </c>
      <c r="B69" t="s">
        <v>62</v>
      </c>
      <c r="C69" s="51">
        <v>46311.458333333336</v>
      </c>
      <c r="D69" s="51">
        <v>46310.419444444444</v>
      </c>
      <c r="E69" t="s">
        <v>87</v>
      </c>
      <c r="F69" t="s">
        <v>53</v>
      </c>
      <c r="G69" t="s">
        <v>54</v>
      </c>
      <c r="H69" t="s">
        <v>63</v>
      </c>
      <c r="I69" t="s">
        <v>64</v>
      </c>
      <c r="J69" t="s">
        <v>65</v>
      </c>
      <c r="K69" t="s">
        <v>481</v>
      </c>
      <c r="L69" t="s">
        <v>470</v>
      </c>
      <c r="M69" t="s">
        <v>485</v>
      </c>
      <c r="O69" t="s">
        <v>52</v>
      </c>
      <c r="P69" t="s">
        <v>472</v>
      </c>
    </row>
    <row r="70" spans="1:16" x14ac:dyDescent="0.3">
      <c r="A70" t="s">
        <v>2387</v>
      </c>
      <c r="B70" t="s">
        <v>47</v>
      </c>
      <c r="C70" s="51">
        <v>46311.583333333336</v>
      </c>
      <c r="D70" s="51">
        <v>46310.406944444447</v>
      </c>
      <c r="E70" t="s">
        <v>87</v>
      </c>
      <c r="F70" t="s">
        <v>48</v>
      </c>
      <c r="G70" t="s">
        <v>49</v>
      </c>
      <c r="H70" t="s">
        <v>50</v>
      </c>
      <c r="I70" t="s">
        <v>66</v>
      </c>
      <c r="J70" t="s">
        <v>51</v>
      </c>
      <c r="K70" t="s">
        <v>469</v>
      </c>
      <c r="L70" t="s">
        <v>470</v>
      </c>
      <c r="M70" t="s">
        <v>471</v>
      </c>
      <c r="N70">
        <v>15813042</v>
      </c>
      <c r="O70" t="s">
        <v>52</v>
      </c>
      <c r="P70" t="s">
        <v>472</v>
      </c>
    </row>
    <row r="71" spans="1:16" x14ac:dyDescent="0.3">
      <c r="A71" t="s">
        <v>2388</v>
      </c>
      <c r="B71" t="s">
        <v>47</v>
      </c>
      <c r="C71" s="51">
        <v>46311.5</v>
      </c>
      <c r="D71" s="51">
        <v>46310.40347222222</v>
      </c>
      <c r="E71" t="s">
        <v>87</v>
      </c>
      <c r="F71" t="s">
        <v>48</v>
      </c>
      <c r="G71" t="s">
        <v>49</v>
      </c>
      <c r="H71" t="s">
        <v>50</v>
      </c>
      <c r="I71" t="s">
        <v>66</v>
      </c>
      <c r="J71" t="s">
        <v>51</v>
      </c>
      <c r="K71" t="s">
        <v>469</v>
      </c>
      <c r="L71" t="s">
        <v>470</v>
      </c>
      <c r="M71" t="s">
        <v>471</v>
      </c>
      <c r="N71">
        <v>15812082</v>
      </c>
      <c r="O71" t="s">
        <v>52</v>
      </c>
      <c r="P71" t="s">
        <v>472</v>
      </c>
    </row>
    <row r="72" spans="1:16" x14ac:dyDescent="0.3">
      <c r="A72" t="s">
        <v>2389</v>
      </c>
      <c r="B72" t="s">
        <v>62</v>
      </c>
      <c r="C72" s="51">
        <v>46311.458333333336</v>
      </c>
      <c r="D72" s="51">
        <v>46310.39166666667</v>
      </c>
      <c r="E72" t="s">
        <v>87</v>
      </c>
      <c r="F72" t="s">
        <v>53</v>
      </c>
      <c r="G72" t="s">
        <v>54</v>
      </c>
      <c r="H72" t="s">
        <v>63</v>
      </c>
      <c r="I72" t="s">
        <v>64</v>
      </c>
      <c r="J72" t="s">
        <v>65</v>
      </c>
      <c r="K72" t="s">
        <v>481</v>
      </c>
      <c r="L72" t="s">
        <v>470</v>
      </c>
      <c r="M72" t="s">
        <v>471</v>
      </c>
      <c r="O72" t="s">
        <v>52</v>
      </c>
      <c r="P72" t="s">
        <v>472</v>
      </c>
    </row>
    <row r="73" spans="1:16" x14ac:dyDescent="0.3">
      <c r="A73" t="s">
        <v>2390</v>
      </c>
      <c r="B73" t="s">
        <v>62</v>
      </c>
      <c r="C73" s="51">
        <v>46311.458333333336</v>
      </c>
      <c r="D73" s="51">
        <v>46310.39166666667</v>
      </c>
      <c r="E73" t="s">
        <v>87</v>
      </c>
      <c r="F73" t="s">
        <v>53</v>
      </c>
      <c r="G73" t="s">
        <v>54</v>
      </c>
      <c r="H73" t="s">
        <v>63</v>
      </c>
      <c r="I73" t="s">
        <v>64</v>
      </c>
      <c r="J73" t="s">
        <v>65</v>
      </c>
      <c r="K73" t="s">
        <v>481</v>
      </c>
      <c r="L73" t="s">
        <v>470</v>
      </c>
      <c r="M73" t="s">
        <v>471</v>
      </c>
      <c r="O73" t="s">
        <v>52</v>
      </c>
      <c r="P73" t="s">
        <v>472</v>
      </c>
    </row>
    <row r="74" spans="1:16" x14ac:dyDescent="0.3">
      <c r="A74" t="s">
        <v>2391</v>
      </c>
      <c r="B74" t="s">
        <v>47</v>
      </c>
      <c r="C74" s="51">
        <v>46311.5</v>
      </c>
      <c r="D74" s="51">
        <v>46310.390277777777</v>
      </c>
      <c r="E74" t="s">
        <v>87</v>
      </c>
      <c r="F74" t="s">
        <v>48</v>
      </c>
      <c r="G74" t="s">
        <v>49</v>
      </c>
      <c r="H74" t="s">
        <v>50</v>
      </c>
      <c r="I74" t="s">
        <v>149</v>
      </c>
      <c r="J74" t="s">
        <v>51</v>
      </c>
      <c r="K74" t="s">
        <v>469</v>
      </c>
      <c r="L74" t="s">
        <v>470</v>
      </c>
      <c r="M74" t="s">
        <v>471</v>
      </c>
      <c r="N74">
        <v>15812070</v>
      </c>
      <c r="O74" t="s">
        <v>52</v>
      </c>
      <c r="P74" t="s">
        <v>472</v>
      </c>
    </row>
    <row r="75" spans="1:16" x14ac:dyDescent="0.3">
      <c r="A75" t="s">
        <v>2392</v>
      </c>
      <c r="B75" t="s">
        <v>47</v>
      </c>
      <c r="C75" s="51">
        <v>46311.5</v>
      </c>
      <c r="D75" s="51">
        <v>46310.390277777777</v>
      </c>
      <c r="E75" t="s">
        <v>87</v>
      </c>
      <c r="F75" t="s">
        <v>48</v>
      </c>
      <c r="G75" t="s">
        <v>49</v>
      </c>
      <c r="H75" t="s">
        <v>50</v>
      </c>
      <c r="I75" t="s">
        <v>130</v>
      </c>
      <c r="J75" t="s">
        <v>51</v>
      </c>
      <c r="K75" t="s">
        <v>469</v>
      </c>
      <c r="L75" t="s">
        <v>470</v>
      </c>
      <c r="M75" t="s">
        <v>471</v>
      </c>
      <c r="N75">
        <v>15812060</v>
      </c>
      <c r="O75" t="s">
        <v>52</v>
      </c>
      <c r="P75" t="s">
        <v>472</v>
      </c>
    </row>
    <row r="76" spans="1:16" x14ac:dyDescent="0.3">
      <c r="A76" t="s">
        <v>2393</v>
      </c>
      <c r="B76" t="s">
        <v>62</v>
      </c>
      <c r="C76" s="51">
        <v>46311.416666666664</v>
      </c>
      <c r="D76" s="51">
        <v>46310.373611111114</v>
      </c>
      <c r="E76" t="s">
        <v>87</v>
      </c>
      <c r="F76" t="s">
        <v>53</v>
      </c>
      <c r="G76" t="s">
        <v>54</v>
      </c>
      <c r="H76" t="s">
        <v>63</v>
      </c>
      <c r="I76" t="s">
        <v>64</v>
      </c>
      <c r="J76" t="s">
        <v>65</v>
      </c>
      <c r="K76" t="s">
        <v>481</v>
      </c>
      <c r="L76" t="s">
        <v>470</v>
      </c>
      <c r="M76" t="s">
        <v>471</v>
      </c>
      <c r="O76" t="s">
        <v>52</v>
      </c>
      <c r="P76" t="s">
        <v>472</v>
      </c>
    </row>
    <row r="77" spans="1:16" x14ac:dyDescent="0.3">
      <c r="A77" t="s">
        <v>2394</v>
      </c>
      <c r="B77" t="s">
        <v>67</v>
      </c>
      <c r="C77" s="51">
        <v>46311.458333333336</v>
      </c>
      <c r="D77" s="51">
        <v>46310.373611111114</v>
      </c>
      <c r="E77" t="s">
        <v>87</v>
      </c>
      <c r="F77" t="s">
        <v>48</v>
      </c>
      <c r="G77" t="s">
        <v>49</v>
      </c>
      <c r="H77" t="s">
        <v>68</v>
      </c>
      <c r="I77" t="s">
        <v>69</v>
      </c>
      <c r="J77" t="s">
        <v>70</v>
      </c>
      <c r="K77" t="s">
        <v>469</v>
      </c>
      <c r="L77" t="s">
        <v>470</v>
      </c>
      <c r="M77" t="s">
        <v>471</v>
      </c>
      <c r="N77">
        <v>15811458</v>
      </c>
      <c r="O77" t="s">
        <v>52</v>
      </c>
      <c r="P77" t="s">
        <v>472</v>
      </c>
    </row>
    <row r="78" spans="1:16" x14ac:dyDescent="0.3">
      <c r="A78" t="s">
        <v>2395</v>
      </c>
      <c r="B78" t="s">
        <v>62</v>
      </c>
      <c r="C78" s="51">
        <v>46311.416666666664</v>
      </c>
      <c r="D78" s="51">
        <v>46310.288888888892</v>
      </c>
      <c r="E78" t="s">
        <v>87</v>
      </c>
      <c r="F78" t="s">
        <v>53</v>
      </c>
      <c r="G78" t="s">
        <v>54</v>
      </c>
      <c r="H78" t="s">
        <v>63</v>
      </c>
      <c r="I78" t="s">
        <v>64</v>
      </c>
      <c r="J78" t="s">
        <v>65</v>
      </c>
      <c r="K78" t="s">
        <v>481</v>
      </c>
      <c r="L78" t="s">
        <v>470</v>
      </c>
      <c r="M78" t="s">
        <v>471</v>
      </c>
      <c r="O78" t="s">
        <v>52</v>
      </c>
      <c r="P78" t="s">
        <v>472</v>
      </c>
    </row>
    <row r="79" spans="1:16" x14ac:dyDescent="0.3">
      <c r="A79" t="s">
        <v>2396</v>
      </c>
      <c r="B79" t="s">
        <v>74</v>
      </c>
      <c r="C79" s="51">
        <v>46311.458333333336</v>
      </c>
      <c r="D79" s="51">
        <v>46310.288888888892</v>
      </c>
      <c r="E79" t="s">
        <v>87</v>
      </c>
      <c r="F79" t="s">
        <v>48</v>
      </c>
      <c r="G79" t="s">
        <v>49</v>
      </c>
      <c r="H79" t="s">
        <v>75</v>
      </c>
      <c r="I79" t="s">
        <v>86</v>
      </c>
      <c r="J79" t="s">
        <v>70</v>
      </c>
      <c r="K79" t="s">
        <v>469</v>
      </c>
      <c r="L79" t="s">
        <v>470</v>
      </c>
      <c r="M79" t="s">
        <v>471</v>
      </c>
      <c r="N79">
        <v>15811098</v>
      </c>
      <c r="O79" t="s">
        <v>52</v>
      </c>
      <c r="P79" t="s">
        <v>472</v>
      </c>
    </row>
    <row r="80" spans="1:16" x14ac:dyDescent="0.3">
      <c r="A80" t="s">
        <v>2397</v>
      </c>
      <c r="B80" t="s">
        <v>62</v>
      </c>
      <c r="C80" s="51">
        <v>46311.416666666664</v>
      </c>
      <c r="D80" s="51">
        <v>46310.261111111111</v>
      </c>
      <c r="E80" t="s">
        <v>87</v>
      </c>
      <c r="F80" t="s">
        <v>53</v>
      </c>
      <c r="G80" t="s">
        <v>54</v>
      </c>
      <c r="H80" t="s">
        <v>63</v>
      </c>
      <c r="I80" t="s">
        <v>64</v>
      </c>
      <c r="J80" t="s">
        <v>65</v>
      </c>
      <c r="K80" t="s">
        <v>481</v>
      </c>
      <c r="L80" t="s">
        <v>470</v>
      </c>
      <c r="M80" t="s">
        <v>471</v>
      </c>
      <c r="O80" t="s">
        <v>52</v>
      </c>
      <c r="P80" t="s">
        <v>472</v>
      </c>
    </row>
    <row r="81" spans="1:16" x14ac:dyDescent="0.3">
      <c r="A81" t="s">
        <v>2398</v>
      </c>
      <c r="B81" t="s">
        <v>67</v>
      </c>
      <c r="C81" s="51">
        <v>46311.541666666664</v>
      </c>
      <c r="D81" s="51">
        <v>46310.260416666664</v>
      </c>
      <c r="E81" t="s">
        <v>87</v>
      </c>
      <c r="F81" t="s">
        <v>48</v>
      </c>
      <c r="G81" t="s">
        <v>49</v>
      </c>
      <c r="H81" t="s">
        <v>68</v>
      </c>
      <c r="I81" t="s">
        <v>69</v>
      </c>
      <c r="J81" t="s">
        <v>70</v>
      </c>
      <c r="K81" t="s">
        <v>469</v>
      </c>
      <c r="L81" t="s">
        <v>470</v>
      </c>
      <c r="M81" t="s">
        <v>471</v>
      </c>
      <c r="N81">
        <v>15812258</v>
      </c>
      <c r="O81" t="s">
        <v>52</v>
      </c>
      <c r="P81" t="s">
        <v>472</v>
      </c>
    </row>
    <row r="82" spans="1:16" x14ac:dyDescent="0.3">
      <c r="A82" t="s">
        <v>2399</v>
      </c>
      <c r="B82" t="s">
        <v>47</v>
      </c>
      <c r="C82" s="51">
        <v>46311.458333333336</v>
      </c>
      <c r="D82" s="51">
        <v>46309.99722222222</v>
      </c>
      <c r="E82" t="s">
        <v>87</v>
      </c>
      <c r="F82" t="s">
        <v>48</v>
      </c>
      <c r="G82" t="s">
        <v>49</v>
      </c>
      <c r="H82" t="s">
        <v>50</v>
      </c>
      <c r="I82" t="s">
        <v>66</v>
      </c>
      <c r="J82" t="s">
        <v>51</v>
      </c>
      <c r="K82" t="s">
        <v>469</v>
      </c>
      <c r="L82" t="s">
        <v>470</v>
      </c>
      <c r="M82" t="s">
        <v>471</v>
      </c>
      <c r="N82">
        <v>15811278</v>
      </c>
      <c r="O82" t="s">
        <v>52</v>
      </c>
      <c r="P82" t="s">
        <v>472</v>
      </c>
    </row>
    <row r="83" spans="1:16" x14ac:dyDescent="0.3">
      <c r="A83" t="s">
        <v>2400</v>
      </c>
      <c r="B83" t="s">
        <v>62</v>
      </c>
      <c r="C83" s="51">
        <v>46311.416666666664</v>
      </c>
      <c r="D83" s="51">
        <v>46309.875</v>
      </c>
      <c r="E83" t="s">
        <v>87</v>
      </c>
      <c r="F83" t="s">
        <v>53</v>
      </c>
      <c r="G83" t="s">
        <v>54</v>
      </c>
      <c r="H83" t="s">
        <v>63</v>
      </c>
      <c r="I83" t="s">
        <v>64</v>
      </c>
      <c r="J83" t="s">
        <v>65</v>
      </c>
      <c r="K83" t="s">
        <v>481</v>
      </c>
      <c r="L83" t="s">
        <v>470</v>
      </c>
      <c r="M83" t="s">
        <v>471</v>
      </c>
      <c r="O83" t="s">
        <v>52</v>
      </c>
      <c r="P83" t="s">
        <v>472</v>
      </c>
    </row>
    <row r="84" spans="1:16" x14ac:dyDescent="0.3">
      <c r="A84" t="s">
        <v>2401</v>
      </c>
      <c r="B84" t="s">
        <v>74</v>
      </c>
      <c r="C84" s="51">
        <v>46311.416666666664</v>
      </c>
      <c r="D84" s="51">
        <v>46309.873611111114</v>
      </c>
      <c r="E84" t="s">
        <v>87</v>
      </c>
      <c r="F84" t="s">
        <v>48</v>
      </c>
      <c r="G84" t="s">
        <v>49</v>
      </c>
      <c r="H84" t="s">
        <v>75</v>
      </c>
      <c r="I84" t="s">
        <v>76</v>
      </c>
      <c r="J84" t="s">
        <v>70</v>
      </c>
      <c r="K84" t="s">
        <v>469</v>
      </c>
      <c r="L84" t="s">
        <v>470</v>
      </c>
      <c r="M84" t="s">
        <v>471</v>
      </c>
      <c r="N84">
        <v>15811090</v>
      </c>
      <c r="O84" t="s">
        <v>52</v>
      </c>
      <c r="P84" t="s">
        <v>472</v>
      </c>
    </row>
    <row r="85" spans="1:16" x14ac:dyDescent="0.3">
      <c r="A85" t="s">
        <v>2402</v>
      </c>
      <c r="B85" t="s">
        <v>62</v>
      </c>
      <c r="C85" s="51">
        <v>46311.416666666664</v>
      </c>
      <c r="D85" s="51">
        <v>46309.861111111109</v>
      </c>
      <c r="E85" t="s">
        <v>87</v>
      </c>
      <c r="F85" t="s">
        <v>53</v>
      </c>
      <c r="G85" t="s">
        <v>54</v>
      </c>
      <c r="H85" t="s">
        <v>63</v>
      </c>
      <c r="I85" t="s">
        <v>64</v>
      </c>
      <c r="J85" t="s">
        <v>65</v>
      </c>
      <c r="K85" t="s">
        <v>481</v>
      </c>
      <c r="L85" t="s">
        <v>470</v>
      </c>
      <c r="M85" t="s">
        <v>471</v>
      </c>
      <c r="O85" t="s">
        <v>52</v>
      </c>
      <c r="P85" t="s">
        <v>472</v>
      </c>
    </row>
    <row r="86" spans="1:16" x14ac:dyDescent="0.3">
      <c r="A86" t="s">
        <v>2403</v>
      </c>
      <c r="B86" t="s">
        <v>62</v>
      </c>
      <c r="C86" s="51">
        <v>46311.375</v>
      </c>
      <c r="D86" s="51">
        <v>46309.861111111109</v>
      </c>
      <c r="E86" t="s">
        <v>87</v>
      </c>
      <c r="F86" t="s">
        <v>53</v>
      </c>
      <c r="G86" t="s">
        <v>54</v>
      </c>
      <c r="H86" t="s">
        <v>63</v>
      </c>
      <c r="I86" t="s">
        <v>64</v>
      </c>
      <c r="J86" t="s">
        <v>65</v>
      </c>
      <c r="K86" t="s">
        <v>481</v>
      </c>
      <c r="L86" t="s">
        <v>470</v>
      </c>
      <c r="M86" t="s">
        <v>471</v>
      </c>
      <c r="O86" t="s">
        <v>52</v>
      </c>
      <c r="P86" t="s">
        <v>472</v>
      </c>
    </row>
    <row r="87" spans="1:16" x14ac:dyDescent="0.3">
      <c r="A87" t="s">
        <v>2404</v>
      </c>
      <c r="B87" t="s">
        <v>74</v>
      </c>
      <c r="C87" s="51">
        <v>46311.416666666664</v>
      </c>
      <c r="D87" s="51">
        <v>46309.861111111109</v>
      </c>
      <c r="E87" t="s">
        <v>87</v>
      </c>
      <c r="F87" t="s">
        <v>48</v>
      </c>
      <c r="G87" t="s">
        <v>49</v>
      </c>
      <c r="H87" t="s">
        <v>75</v>
      </c>
      <c r="I87" t="s">
        <v>139</v>
      </c>
      <c r="J87" t="s">
        <v>70</v>
      </c>
      <c r="K87" t="s">
        <v>469</v>
      </c>
      <c r="L87" t="s">
        <v>470</v>
      </c>
      <c r="M87" t="s">
        <v>471</v>
      </c>
      <c r="N87">
        <v>15811072</v>
      </c>
      <c r="O87" t="s">
        <v>52</v>
      </c>
      <c r="P87" t="s">
        <v>472</v>
      </c>
    </row>
    <row r="88" spans="1:16" x14ac:dyDescent="0.3">
      <c r="A88" t="s">
        <v>2405</v>
      </c>
      <c r="B88" t="s">
        <v>74</v>
      </c>
      <c r="C88" s="51">
        <v>46311.416666666664</v>
      </c>
      <c r="D88" s="51">
        <v>46309.86041666667</v>
      </c>
      <c r="E88" t="s">
        <v>87</v>
      </c>
      <c r="F88" t="s">
        <v>48</v>
      </c>
      <c r="G88" t="s">
        <v>49</v>
      </c>
      <c r="H88" t="s">
        <v>75</v>
      </c>
      <c r="I88" t="s">
        <v>139</v>
      </c>
      <c r="J88" t="s">
        <v>70</v>
      </c>
      <c r="K88" t="s">
        <v>469</v>
      </c>
      <c r="L88" t="s">
        <v>470</v>
      </c>
      <c r="M88" t="s">
        <v>471</v>
      </c>
      <c r="N88">
        <v>15811050</v>
      </c>
      <c r="O88" t="s">
        <v>52</v>
      </c>
      <c r="P88" t="s">
        <v>472</v>
      </c>
    </row>
    <row r="89" spans="1:16" x14ac:dyDescent="0.3">
      <c r="A89" t="s">
        <v>2406</v>
      </c>
      <c r="B89" t="s">
        <v>62</v>
      </c>
      <c r="C89" s="51">
        <v>46311.375</v>
      </c>
      <c r="D89" s="51">
        <v>46309.81527777778</v>
      </c>
      <c r="E89" t="s">
        <v>87</v>
      </c>
      <c r="F89" t="s">
        <v>53</v>
      </c>
      <c r="G89" t="s">
        <v>54</v>
      </c>
      <c r="H89" t="s">
        <v>63</v>
      </c>
      <c r="I89" t="s">
        <v>64</v>
      </c>
      <c r="J89" t="s">
        <v>65</v>
      </c>
      <c r="K89" t="s">
        <v>481</v>
      </c>
      <c r="L89" t="s">
        <v>470</v>
      </c>
      <c r="M89" t="s">
        <v>471</v>
      </c>
      <c r="O89" t="s">
        <v>52</v>
      </c>
      <c r="P89" t="s">
        <v>472</v>
      </c>
    </row>
    <row r="90" spans="1:16" x14ac:dyDescent="0.3">
      <c r="A90" t="s">
        <v>2407</v>
      </c>
      <c r="B90" t="s">
        <v>67</v>
      </c>
      <c r="C90" s="51">
        <v>46311.416666666664</v>
      </c>
      <c r="D90" s="51">
        <v>46309.81527777778</v>
      </c>
      <c r="E90" t="s">
        <v>87</v>
      </c>
      <c r="F90" t="s">
        <v>48</v>
      </c>
      <c r="G90" t="s">
        <v>49</v>
      </c>
      <c r="H90" t="s">
        <v>68</v>
      </c>
      <c r="I90" t="s">
        <v>69</v>
      </c>
      <c r="J90" t="s">
        <v>70</v>
      </c>
      <c r="K90" t="s">
        <v>469</v>
      </c>
      <c r="L90" t="s">
        <v>470</v>
      </c>
      <c r="M90" t="s">
        <v>471</v>
      </c>
      <c r="N90">
        <v>15810908</v>
      </c>
      <c r="O90" t="s">
        <v>52</v>
      </c>
      <c r="P90" t="s">
        <v>472</v>
      </c>
    </row>
    <row r="91" spans="1:16" x14ac:dyDescent="0.3">
      <c r="A91" t="s">
        <v>2408</v>
      </c>
      <c r="B91" t="s">
        <v>62</v>
      </c>
      <c r="C91" s="51">
        <v>46311.291666666664</v>
      </c>
      <c r="D91" s="51">
        <v>46309.794444444444</v>
      </c>
      <c r="E91" t="s">
        <v>87</v>
      </c>
      <c r="F91" t="s">
        <v>53</v>
      </c>
      <c r="G91" t="s">
        <v>54</v>
      </c>
      <c r="H91" t="s">
        <v>63</v>
      </c>
      <c r="I91" t="s">
        <v>64</v>
      </c>
      <c r="J91" t="s">
        <v>65</v>
      </c>
      <c r="K91" t="s">
        <v>481</v>
      </c>
      <c r="L91" t="s">
        <v>470</v>
      </c>
      <c r="M91" t="s">
        <v>485</v>
      </c>
      <c r="O91" t="s">
        <v>52</v>
      </c>
      <c r="P91" t="s">
        <v>472</v>
      </c>
    </row>
    <row r="92" spans="1:16" x14ac:dyDescent="0.3">
      <c r="A92" t="s">
        <v>2409</v>
      </c>
      <c r="B92" t="s">
        <v>62</v>
      </c>
      <c r="C92" s="51">
        <v>46311.291666666664</v>
      </c>
      <c r="D92" s="51">
        <v>46309.793749999997</v>
      </c>
      <c r="E92" t="s">
        <v>87</v>
      </c>
      <c r="F92" t="s">
        <v>53</v>
      </c>
      <c r="G92" t="s">
        <v>54</v>
      </c>
      <c r="H92" t="s">
        <v>63</v>
      </c>
      <c r="I92" t="s">
        <v>64</v>
      </c>
      <c r="J92" t="s">
        <v>65</v>
      </c>
      <c r="K92" t="s">
        <v>481</v>
      </c>
      <c r="L92" t="s">
        <v>470</v>
      </c>
      <c r="M92" t="s">
        <v>485</v>
      </c>
      <c r="O92" t="s">
        <v>52</v>
      </c>
      <c r="P92" t="s">
        <v>472</v>
      </c>
    </row>
    <row r="93" spans="1:16" x14ac:dyDescent="0.3">
      <c r="A93" t="s">
        <v>2410</v>
      </c>
      <c r="B93" t="s">
        <v>47</v>
      </c>
      <c r="C93" s="51">
        <v>46311.417361111111</v>
      </c>
      <c r="D93" s="51">
        <v>46309.772222222222</v>
      </c>
      <c r="E93" t="s">
        <v>87</v>
      </c>
      <c r="F93" t="s">
        <v>48</v>
      </c>
      <c r="G93" t="s">
        <v>49</v>
      </c>
      <c r="H93" t="s">
        <v>50</v>
      </c>
      <c r="I93" t="s">
        <v>66</v>
      </c>
      <c r="J93" t="s">
        <v>51</v>
      </c>
      <c r="K93" t="s">
        <v>469</v>
      </c>
      <c r="L93" t="s">
        <v>470</v>
      </c>
      <c r="M93" t="s">
        <v>485</v>
      </c>
      <c r="N93">
        <v>15810850</v>
      </c>
      <c r="O93" t="s">
        <v>52</v>
      </c>
      <c r="P93" t="s">
        <v>472</v>
      </c>
    </row>
    <row r="94" spans="1:16" x14ac:dyDescent="0.3">
      <c r="A94" t="s">
        <v>2411</v>
      </c>
      <c r="B94" t="s">
        <v>62</v>
      </c>
      <c r="C94" s="51">
        <v>46311.375</v>
      </c>
      <c r="D94" s="51">
        <v>46309.689583333333</v>
      </c>
      <c r="E94" t="s">
        <v>87</v>
      </c>
      <c r="F94" t="s">
        <v>53</v>
      </c>
      <c r="G94" t="s">
        <v>54</v>
      </c>
      <c r="H94" t="s">
        <v>63</v>
      </c>
      <c r="I94" t="s">
        <v>64</v>
      </c>
      <c r="J94" t="s">
        <v>65</v>
      </c>
      <c r="K94" t="s">
        <v>481</v>
      </c>
      <c r="L94" t="s">
        <v>470</v>
      </c>
      <c r="M94" t="s">
        <v>471</v>
      </c>
      <c r="O94" t="s">
        <v>52</v>
      </c>
      <c r="P94" t="s">
        <v>472</v>
      </c>
    </row>
    <row r="95" spans="1:16" x14ac:dyDescent="0.3">
      <c r="A95" t="s">
        <v>2412</v>
      </c>
      <c r="B95" t="s">
        <v>155</v>
      </c>
      <c r="C95" s="51">
        <v>46311.375</v>
      </c>
      <c r="D95" s="51">
        <v>46309.689583333333</v>
      </c>
      <c r="E95" t="s">
        <v>87</v>
      </c>
      <c r="F95" t="s">
        <v>53</v>
      </c>
      <c r="G95" t="s">
        <v>85</v>
      </c>
      <c r="H95" t="s">
        <v>156</v>
      </c>
      <c r="I95" t="s">
        <v>157</v>
      </c>
      <c r="J95" t="s">
        <v>70</v>
      </c>
      <c r="K95" t="s">
        <v>469</v>
      </c>
      <c r="L95" t="s">
        <v>470</v>
      </c>
      <c r="M95" t="s">
        <v>471</v>
      </c>
      <c r="N95">
        <v>15810648</v>
      </c>
      <c r="O95" t="s">
        <v>52</v>
      </c>
      <c r="P95" t="s">
        <v>472</v>
      </c>
    </row>
    <row r="96" spans="1:16" x14ac:dyDescent="0.3">
      <c r="A96" t="s">
        <v>2413</v>
      </c>
      <c r="B96" t="s">
        <v>62</v>
      </c>
      <c r="C96" s="51">
        <v>46311.291666666664</v>
      </c>
      <c r="D96" s="51">
        <v>46309.669444444444</v>
      </c>
      <c r="E96" t="s">
        <v>87</v>
      </c>
      <c r="F96" t="s">
        <v>53</v>
      </c>
      <c r="G96" t="s">
        <v>54</v>
      </c>
      <c r="H96" t="s">
        <v>63</v>
      </c>
      <c r="I96" t="s">
        <v>64</v>
      </c>
      <c r="J96" t="s">
        <v>65</v>
      </c>
      <c r="K96" t="s">
        <v>481</v>
      </c>
      <c r="L96" t="s">
        <v>470</v>
      </c>
      <c r="M96" t="s">
        <v>485</v>
      </c>
      <c r="O96" t="s">
        <v>52</v>
      </c>
      <c r="P96" t="s">
        <v>472</v>
      </c>
    </row>
    <row r="97" spans="1:16" x14ac:dyDescent="0.3">
      <c r="A97" t="s">
        <v>2414</v>
      </c>
      <c r="B97" t="s">
        <v>62</v>
      </c>
      <c r="C97" s="51">
        <v>46311.291666666664</v>
      </c>
      <c r="D97" s="51">
        <v>46309.669444444444</v>
      </c>
      <c r="E97" t="s">
        <v>87</v>
      </c>
      <c r="F97" t="s">
        <v>53</v>
      </c>
      <c r="G97" t="s">
        <v>54</v>
      </c>
      <c r="H97" t="s">
        <v>63</v>
      </c>
      <c r="I97" t="s">
        <v>64</v>
      </c>
      <c r="J97" t="s">
        <v>65</v>
      </c>
      <c r="K97" t="s">
        <v>481</v>
      </c>
      <c r="L97" t="s">
        <v>470</v>
      </c>
      <c r="M97" t="s">
        <v>485</v>
      </c>
      <c r="O97" t="s">
        <v>52</v>
      </c>
      <c r="P97" t="s">
        <v>472</v>
      </c>
    </row>
    <row r="98" spans="1:16" x14ac:dyDescent="0.3">
      <c r="A98" t="s">
        <v>2415</v>
      </c>
      <c r="B98" t="s">
        <v>62</v>
      </c>
      <c r="C98" s="51">
        <v>46311.291666666664</v>
      </c>
      <c r="D98" s="51">
        <v>46309.669444444444</v>
      </c>
      <c r="E98" t="s">
        <v>87</v>
      </c>
      <c r="F98" t="s">
        <v>53</v>
      </c>
      <c r="G98" t="s">
        <v>54</v>
      </c>
      <c r="H98" t="s">
        <v>63</v>
      </c>
      <c r="I98" t="s">
        <v>64</v>
      </c>
      <c r="J98" t="s">
        <v>65</v>
      </c>
      <c r="K98" t="s">
        <v>481</v>
      </c>
      <c r="L98" t="s">
        <v>470</v>
      </c>
      <c r="M98" t="s">
        <v>485</v>
      </c>
      <c r="O98" t="s">
        <v>52</v>
      </c>
      <c r="P98" t="s">
        <v>472</v>
      </c>
    </row>
    <row r="99" spans="1:16" x14ac:dyDescent="0.3">
      <c r="A99" t="s">
        <v>2416</v>
      </c>
      <c r="B99" t="s">
        <v>62</v>
      </c>
      <c r="C99" s="51">
        <v>46311.291666666664</v>
      </c>
      <c r="D99" s="51">
        <v>46309.669444444444</v>
      </c>
      <c r="E99" t="s">
        <v>87</v>
      </c>
      <c r="F99" t="s">
        <v>53</v>
      </c>
      <c r="G99" t="s">
        <v>54</v>
      </c>
      <c r="H99" t="s">
        <v>63</v>
      </c>
      <c r="I99" t="s">
        <v>64</v>
      </c>
      <c r="J99" t="s">
        <v>65</v>
      </c>
      <c r="K99" t="s">
        <v>481</v>
      </c>
      <c r="L99" t="s">
        <v>470</v>
      </c>
      <c r="M99" t="s">
        <v>485</v>
      </c>
      <c r="O99" t="s">
        <v>52</v>
      </c>
      <c r="P99" t="s">
        <v>472</v>
      </c>
    </row>
    <row r="100" spans="1:16" x14ac:dyDescent="0.3">
      <c r="A100" t="s">
        <v>2417</v>
      </c>
      <c r="B100" t="s">
        <v>62</v>
      </c>
      <c r="C100" s="51">
        <v>46311.291666666664</v>
      </c>
      <c r="D100" s="51">
        <v>46309.669444444444</v>
      </c>
      <c r="E100" t="s">
        <v>87</v>
      </c>
      <c r="F100" t="s">
        <v>53</v>
      </c>
      <c r="G100" t="s">
        <v>54</v>
      </c>
      <c r="H100" t="s">
        <v>63</v>
      </c>
      <c r="I100" t="s">
        <v>64</v>
      </c>
      <c r="J100" t="s">
        <v>65</v>
      </c>
      <c r="K100" t="s">
        <v>481</v>
      </c>
      <c r="L100" t="s">
        <v>470</v>
      </c>
      <c r="M100" t="s">
        <v>485</v>
      </c>
      <c r="O100" t="s">
        <v>52</v>
      </c>
      <c r="P100" t="s">
        <v>472</v>
      </c>
    </row>
    <row r="101" spans="1:16" x14ac:dyDescent="0.3">
      <c r="A101" t="s">
        <v>2418</v>
      </c>
      <c r="B101" t="s">
        <v>62</v>
      </c>
      <c r="C101" s="51">
        <v>46311.291666666664</v>
      </c>
      <c r="D101" s="51">
        <v>46309.669444444444</v>
      </c>
      <c r="E101" t="s">
        <v>87</v>
      </c>
      <c r="F101" t="s">
        <v>53</v>
      </c>
      <c r="G101" t="s">
        <v>54</v>
      </c>
      <c r="H101" t="s">
        <v>63</v>
      </c>
      <c r="I101" t="s">
        <v>64</v>
      </c>
      <c r="J101" t="s">
        <v>65</v>
      </c>
      <c r="K101" t="s">
        <v>481</v>
      </c>
      <c r="L101" t="s">
        <v>470</v>
      </c>
      <c r="M101" t="s">
        <v>485</v>
      </c>
      <c r="O101" t="s">
        <v>52</v>
      </c>
      <c r="P101" t="s">
        <v>472</v>
      </c>
    </row>
    <row r="102" spans="1:16" x14ac:dyDescent="0.3">
      <c r="A102" t="s">
        <v>2419</v>
      </c>
      <c r="B102" t="s">
        <v>62</v>
      </c>
      <c r="C102" s="51">
        <v>46311.291666666664</v>
      </c>
      <c r="D102" s="51">
        <v>46309.669444444444</v>
      </c>
      <c r="E102" t="s">
        <v>87</v>
      </c>
      <c r="F102" t="s">
        <v>53</v>
      </c>
      <c r="G102" t="s">
        <v>54</v>
      </c>
      <c r="H102" t="s">
        <v>63</v>
      </c>
      <c r="I102" t="s">
        <v>64</v>
      </c>
      <c r="J102" t="s">
        <v>65</v>
      </c>
      <c r="K102" t="s">
        <v>481</v>
      </c>
      <c r="L102" t="s">
        <v>470</v>
      </c>
      <c r="M102" t="s">
        <v>485</v>
      </c>
      <c r="O102" t="s">
        <v>52</v>
      </c>
      <c r="P102" t="s">
        <v>472</v>
      </c>
    </row>
    <row r="103" spans="1:16" x14ac:dyDescent="0.3">
      <c r="A103" t="s">
        <v>2420</v>
      </c>
      <c r="B103" t="s">
        <v>47</v>
      </c>
      <c r="C103" s="51">
        <v>46311.376388888886</v>
      </c>
      <c r="D103" s="51">
        <v>46309.654861111114</v>
      </c>
      <c r="E103" t="s">
        <v>87</v>
      </c>
      <c r="F103" t="s">
        <v>48</v>
      </c>
      <c r="G103" t="s">
        <v>49</v>
      </c>
      <c r="H103" t="s">
        <v>50</v>
      </c>
      <c r="I103" t="s">
        <v>66</v>
      </c>
      <c r="J103" t="s">
        <v>51</v>
      </c>
      <c r="K103" t="s">
        <v>469</v>
      </c>
      <c r="L103" t="s">
        <v>470</v>
      </c>
      <c r="M103" t="s">
        <v>485</v>
      </c>
      <c r="N103">
        <v>15810482</v>
      </c>
      <c r="O103" t="s">
        <v>52</v>
      </c>
      <c r="P103" t="s">
        <v>472</v>
      </c>
    </row>
    <row r="104" spans="1:16" x14ac:dyDescent="0.3">
      <c r="A104" t="s">
        <v>2421</v>
      </c>
      <c r="B104" t="s">
        <v>62</v>
      </c>
      <c r="C104" s="51">
        <v>46311.291666666664</v>
      </c>
      <c r="D104" s="51">
        <v>46309.645833333336</v>
      </c>
      <c r="E104" t="s">
        <v>87</v>
      </c>
      <c r="F104" t="s">
        <v>53</v>
      </c>
      <c r="G104" t="s">
        <v>54</v>
      </c>
      <c r="H104" t="s">
        <v>63</v>
      </c>
      <c r="I104" t="s">
        <v>64</v>
      </c>
      <c r="J104" t="s">
        <v>65</v>
      </c>
      <c r="K104" t="s">
        <v>481</v>
      </c>
      <c r="L104" t="s">
        <v>470</v>
      </c>
      <c r="M104" t="s">
        <v>471</v>
      </c>
      <c r="O104" t="s">
        <v>52</v>
      </c>
      <c r="P104" t="s">
        <v>472</v>
      </c>
    </row>
    <row r="105" spans="1:16" x14ac:dyDescent="0.3">
      <c r="A105" t="s">
        <v>2422</v>
      </c>
      <c r="B105" t="s">
        <v>155</v>
      </c>
      <c r="C105" s="51">
        <v>46311.375</v>
      </c>
      <c r="D105" s="51">
        <v>46309.645833333336</v>
      </c>
      <c r="E105" t="s">
        <v>87</v>
      </c>
      <c r="F105" t="s">
        <v>53</v>
      </c>
      <c r="G105" t="s">
        <v>85</v>
      </c>
      <c r="H105" t="s">
        <v>156</v>
      </c>
      <c r="I105" t="s">
        <v>157</v>
      </c>
      <c r="J105" t="s">
        <v>70</v>
      </c>
      <c r="K105" t="s">
        <v>469</v>
      </c>
      <c r="L105" t="s">
        <v>470</v>
      </c>
      <c r="M105" t="s">
        <v>471</v>
      </c>
      <c r="N105">
        <v>15810472</v>
      </c>
      <c r="O105" t="s">
        <v>52</v>
      </c>
      <c r="P105" t="s">
        <v>472</v>
      </c>
    </row>
    <row r="106" spans="1:16" x14ac:dyDescent="0.3">
      <c r="A106" t="s">
        <v>2423</v>
      </c>
      <c r="B106" t="s">
        <v>62</v>
      </c>
      <c r="C106" s="51">
        <v>46311.291666666664</v>
      </c>
      <c r="D106" s="51">
        <v>46309.624305555553</v>
      </c>
      <c r="E106" t="s">
        <v>87</v>
      </c>
      <c r="F106" t="s">
        <v>53</v>
      </c>
      <c r="G106" t="s">
        <v>54</v>
      </c>
      <c r="H106" t="s">
        <v>63</v>
      </c>
      <c r="I106" t="s">
        <v>64</v>
      </c>
      <c r="J106" t="s">
        <v>65</v>
      </c>
      <c r="K106" t="s">
        <v>481</v>
      </c>
      <c r="L106" t="s">
        <v>470</v>
      </c>
      <c r="M106" t="s">
        <v>471</v>
      </c>
      <c r="O106" t="s">
        <v>52</v>
      </c>
      <c r="P106" t="s">
        <v>472</v>
      </c>
    </row>
    <row r="107" spans="1:16" x14ac:dyDescent="0.3">
      <c r="A107" t="s">
        <v>2424</v>
      </c>
      <c r="B107" t="s">
        <v>74</v>
      </c>
      <c r="C107" s="51">
        <v>46311.375</v>
      </c>
      <c r="D107" s="51">
        <v>46309.624305555553</v>
      </c>
      <c r="E107" t="s">
        <v>87</v>
      </c>
      <c r="F107" t="s">
        <v>48</v>
      </c>
      <c r="G107" t="s">
        <v>49</v>
      </c>
      <c r="H107" t="s">
        <v>75</v>
      </c>
      <c r="I107" t="s">
        <v>76</v>
      </c>
      <c r="J107" t="s">
        <v>70</v>
      </c>
      <c r="K107" t="s">
        <v>469</v>
      </c>
      <c r="L107" t="s">
        <v>470</v>
      </c>
      <c r="M107" t="s">
        <v>471</v>
      </c>
      <c r="N107">
        <v>15810686</v>
      </c>
      <c r="O107" t="s">
        <v>52</v>
      </c>
      <c r="P107" t="s">
        <v>472</v>
      </c>
    </row>
    <row r="108" spans="1:16" x14ac:dyDescent="0.3">
      <c r="A108" t="s">
        <v>2425</v>
      </c>
      <c r="B108" t="s">
        <v>47</v>
      </c>
      <c r="C108" s="51">
        <v>46310.666666666664</v>
      </c>
      <c r="D108" s="51">
        <v>46309.611111111109</v>
      </c>
      <c r="E108" t="s">
        <v>87</v>
      </c>
      <c r="F108" t="s">
        <v>48</v>
      </c>
      <c r="G108" t="s">
        <v>49</v>
      </c>
      <c r="H108" t="s">
        <v>50</v>
      </c>
      <c r="I108" t="s">
        <v>130</v>
      </c>
      <c r="J108" t="s">
        <v>51</v>
      </c>
      <c r="K108" t="s">
        <v>469</v>
      </c>
      <c r="L108" t="s">
        <v>470</v>
      </c>
      <c r="M108" t="s">
        <v>485</v>
      </c>
      <c r="N108">
        <v>15804016</v>
      </c>
      <c r="O108" t="s">
        <v>52</v>
      </c>
      <c r="P108" t="s">
        <v>472</v>
      </c>
    </row>
    <row r="109" spans="1:16" x14ac:dyDescent="0.3">
      <c r="A109" t="s">
        <v>2426</v>
      </c>
      <c r="B109" t="s">
        <v>71</v>
      </c>
      <c r="C109" s="51">
        <v>46310.666666666664</v>
      </c>
      <c r="D109" s="51">
        <v>46309.598611111112</v>
      </c>
      <c r="E109" t="s">
        <v>87</v>
      </c>
      <c r="F109" t="s">
        <v>48</v>
      </c>
      <c r="G109" t="s">
        <v>49</v>
      </c>
      <c r="H109" t="s">
        <v>72</v>
      </c>
      <c r="I109" t="s">
        <v>73</v>
      </c>
      <c r="J109" t="s">
        <v>70</v>
      </c>
      <c r="K109" t="s">
        <v>469</v>
      </c>
      <c r="L109" t="s">
        <v>470</v>
      </c>
      <c r="M109" t="s">
        <v>485</v>
      </c>
      <c r="O109" t="s">
        <v>52</v>
      </c>
      <c r="P109" t="s">
        <v>472</v>
      </c>
    </row>
    <row r="110" spans="1:16" x14ac:dyDescent="0.3">
      <c r="A110" t="s">
        <v>2427</v>
      </c>
      <c r="B110" t="s">
        <v>62</v>
      </c>
      <c r="C110" s="51">
        <v>46310.625</v>
      </c>
      <c r="D110" s="51">
        <v>46309.586111111108</v>
      </c>
      <c r="E110" t="s">
        <v>87</v>
      </c>
      <c r="F110" t="s">
        <v>53</v>
      </c>
      <c r="G110" t="s">
        <v>54</v>
      </c>
      <c r="H110" t="s">
        <v>63</v>
      </c>
      <c r="I110" t="s">
        <v>64</v>
      </c>
      <c r="J110" t="s">
        <v>65</v>
      </c>
      <c r="K110" t="s">
        <v>481</v>
      </c>
      <c r="L110" t="s">
        <v>470</v>
      </c>
      <c r="M110" t="s">
        <v>485</v>
      </c>
      <c r="O110" t="s">
        <v>52</v>
      </c>
      <c r="P110" t="s">
        <v>472</v>
      </c>
    </row>
    <row r="111" spans="1:16" x14ac:dyDescent="0.3">
      <c r="A111" t="s">
        <v>2428</v>
      </c>
      <c r="B111" t="s">
        <v>62</v>
      </c>
      <c r="C111" s="51">
        <v>46310.625</v>
      </c>
      <c r="D111" s="51">
        <v>46309.571527777778</v>
      </c>
      <c r="E111" t="s">
        <v>87</v>
      </c>
      <c r="F111" t="s">
        <v>53</v>
      </c>
      <c r="G111" t="s">
        <v>54</v>
      </c>
      <c r="H111" t="s">
        <v>63</v>
      </c>
      <c r="I111" t="s">
        <v>64</v>
      </c>
      <c r="J111" t="s">
        <v>65</v>
      </c>
      <c r="K111" t="s">
        <v>481</v>
      </c>
      <c r="L111" t="s">
        <v>470</v>
      </c>
      <c r="M111" t="s">
        <v>471</v>
      </c>
      <c r="O111" t="s">
        <v>52</v>
      </c>
      <c r="P111" t="s">
        <v>472</v>
      </c>
    </row>
    <row r="112" spans="1:16" x14ac:dyDescent="0.3">
      <c r="A112" t="s">
        <v>2429</v>
      </c>
      <c r="B112" t="s">
        <v>67</v>
      </c>
      <c r="C112" s="51">
        <v>46310.625</v>
      </c>
      <c r="D112" s="51">
        <v>46309.570138888892</v>
      </c>
      <c r="E112" t="s">
        <v>87</v>
      </c>
      <c r="F112" t="s">
        <v>48</v>
      </c>
      <c r="G112" t="s">
        <v>49</v>
      </c>
      <c r="H112" t="s">
        <v>68</v>
      </c>
      <c r="I112" t="s">
        <v>69</v>
      </c>
      <c r="J112" t="s">
        <v>70</v>
      </c>
      <c r="K112" t="s">
        <v>469</v>
      </c>
      <c r="L112" t="s">
        <v>470</v>
      </c>
      <c r="M112" t="s">
        <v>471</v>
      </c>
      <c r="N112">
        <v>15803820</v>
      </c>
      <c r="O112" t="s">
        <v>52</v>
      </c>
      <c r="P112" t="s">
        <v>472</v>
      </c>
    </row>
    <row r="113" spans="1:16" x14ac:dyDescent="0.3">
      <c r="A113" t="s">
        <v>2430</v>
      </c>
      <c r="B113" t="s">
        <v>62</v>
      </c>
      <c r="C113" s="51">
        <v>46310.625</v>
      </c>
      <c r="D113" s="51">
        <v>46309.570138888892</v>
      </c>
      <c r="E113" t="s">
        <v>87</v>
      </c>
      <c r="F113" t="s">
        <v>53</v>
      </c>
      <c r="G113" t="s">
        <v>54</v>
      </c>
      <c r="H113" t="s">
        <v>63</v>
      </c>
      <c r="I113" t="s">
        <v>64</v>
      </c>
      <c r="J113" t="s">
        <v>65</v>
      </c>
      <c r="K113" t="s">
        <v>481</v>
      </c>
      <c r="L113" t="s">
        <v>470</v>
      </c>
      <c r="M113" t="s">
        <v>471</v>
      </c>
      <c r="O113" t="s">
        <v>52</v>
      </c>
      <c r="P113" t="s">
        <v>472</v>
      </c>
    </row>
    <row r="114" spans="1:16" x14ac:dyDescent="0.3">
      <c r="A114" t="s">
        <v>2431</v>
      </c>
      <c r="B114" t="s">
        <v>67</v>
      </c>
      <c r="C114" s="51">
        <v>46310.625</v>
      </c>
      <c r="D114" s="51">
        <v>46309.570138888892</v>
      </c>
      <c r="E114" t="s">
        <v>87</v>
      </c>
      <c r="F114" t="s">
        <v>48</v>
      </c>
      <c r="G114" t="s">
        <v>49</v>
      </c>
      <c r="H114" t="s">
        <v>68</v>
      </c>
      <c r="I114" t="s">
        <v>69</v>
      </c>
      <c r="J114" t="s">
        <v>70</v>
      </c>
      <c r="K114" t="s">
        <v>469</v>
      </c>
      <c r="L114" t="s">
        <v>470</v>
      </c>
      <c r="M114" t="s">
        <v>471</v>
      </c>
      <c r="N114">
        <v>15803806</v>
      </c>
      <c r="O114" t="s">
        <v>52</v>
      </c>
      <c r="P114" t="s">
        <v>472</v>
      </c>
    </row>
    <row r="115" spans="1:16" x14ac:dyDescent="0.3">
      <c r="A115" t="s">
        <v>2432</v>
      </c>
      <c r="B115" t="s">
        <v>62</v>
      </c>
      <c r="C115" s="51">
        <v>46310.625</v>
      </c>
      <c r="D115" s="51">
        <v>46309.55972222222</v>
      </c>
      <c r="E115" t="s">
        <v>87</v>
      </c>
      <c r="F115" t="s">
        <v>53</v>
      </c>
      <c r="G115" t="s">
        <v>54</v>
      </c>
      <c r="H115" t="s">
        <v>63</v>
      </c>
      <c r="I115" t="s">
        <v>64</v>
      </c>
      <c r="J115" t="s">
        <v>65</v>
      </c>
      <c r="K115" t="s">
        <v>481</v>
      </c>
      <c r="L115" t="s">
        <v>470</v>
      </c>
      <c r="M115" t="s">
        <v>471</v>
      </c>
      <c r="O115" t="s">
        <v>52</v>
      </c>
      <c r="P115" t="s">
        <v>472</v>
      </c>
    </row>
    <row r="116" spans="1:16" x14ac:dyDescent="0.3">
      <c r="A116" t="s">
        <v>2433</v>
      </c>
      <c r="B116" t="s">
        <v>74</v>
      </c>
      <c r="C116" s="51">
        <v>46311.938194444447</v>
      </c>
      <c r="D116" s="51">
        <v>46309.55972222222</v>
      </c>
      <c r="E116" t="s">
        <v>87</v>
      </c>
      <c r="F116" t="s">
        <v>48</v>
      </c>
      <c r="G116" t="s">
        <v>49</v>
      </c>
      <c r="H116" t="s">
        <v>75</v>
      </c>
      <c r="I116" t="s">
        <v>86</v>
      </c>
      <c r="J116" t="s">
        <v>70</v>
      </c>
      <c r="K116" t="s">
        <v>469</v>
      </c>
      <c r="L116" t="s">
        <v>470</v>
      </c>
      <c r="M116" t="s">
        <v>471</v>
      </c>
      <c r="N116">
        <v>15803598</v>
      </c>
      <c r="O116" t="s">
        <v>52</v>
      </c>
      <c r="P116" t="s">
        <v>472</v>
      </c>
    </row>
    <row r="117" spans="1:16" x14ac:dyDescent="0.3">
      <c r="A117" t="s">
        <v>2434</v>
      </c>
      <c r="B117" t="s">
        <v>62</v>
      </c>
      <c r="C117" s="51">
        <v>46310.583333333336</v>
      </c>
      <c r="D117" s="51">
        <v>46309.545138888891</v>
      </c>
      <c r="E117" t="s">
        <v>87</v>
      </c>
      <c r="F117" t="s">
        <v>53</v>
      </c>
      <c r="G117" t="s">
        <v>54</v>
      </c>
      <c r="H117" t="s">
        <v>63</v>
      </c>
      <c r="I117" t="s">
        <v>64</v>
      </c>
      <c r="J117" t="s">
        <v>65</v>
      </c>
      <c r="K117" t="s">
        <v>481</v>
      </c>
      <c r="L117" t="s">
        <v>470</v>
      </c>
      <c r="M117" t="s">
        <v>485</v>
      </c>
      <c r="O117" t="s">
        <v>52</v>
      </c>
      <c r="P117" t="s">
        <v>472</v>
      </c>
    </row>
    <row r="118" spans="1:16" x14ac:dyDescent="0.3">
      <c r="A118" t="s">
        <v>2435</v>
      </c>
      <c r="B118" t="s">
        <v>62</v>
      </c>
      <c r="C118" s="51">
        <v>46310.583333333336</v>
      </c>
      <c r="D118" s="51">
        <v>46309.545138888891</v>
      </c>
      <c r="E118" t="s">
        <v>87</v>
      </c>
      <c r="F118" t="s">
        <v>53</v>
      </c>
      <c r="G118" t="s">
        <v>54</v>
      </c>
      <c r="H118" t="s">
        <v>63</v>
      </c>
      <c r="I118" t="s">
        <v>64</v>
      </c>
      <c r="J118" t="s">
        <v>65</v>
      </c>
      <c r="K118" t="s">
        <v>481</v>
      </c>
      <c r="L118" t="s">
        <v>470</v>
      </c>
      <c r="M118" t="s">
        <v>485</v>
      </c>
      <c r="O118" t="s">
        <v>52</v>
      </c>
      <c r="P118" t="s">
        <v>472</v>
      </c>
    </row>
    <row r="119" spans="1:16" x14ac:dyDescent="0.3">
      <c r="A119" t="s">
        <v>2436</v>
      </c>
      <c r="B119" t="s">
        <v>62</v>
      </c>
      <c r="C119" s="51">
        <v>46310.583333333336</v>
      </c>
      <c r="D119" s="51">
        <v>46309.545138888891</v>
      </c>
      <c r="E119" t="s">
        <v>87</v>
      </c>
      <c r="F119" t="s">
        <v>53</v>
      </c>
      <c r="G119" t="s">
        <v>54</v>
      </c>
      <c r="H119" t="s">
        <v>63</v>
      </c>
      <c r="I119" t="s">
        <v>64</v>
      </c>
      <c r="J119" t="s">
        <v>65</v>
      </c>
      <c r="K119" t="s">
        <v>481</v>
      </c>
      <c r="L119" t="s">
        <v>470</v>
      </c>
      <c r="M119" t="s">
        <v>485</v>
      </c>
      <c r="O119" t="s">
        <v>52</v>
      </c>
      <c r="P119" t="s">
        <v>472</v>
      </c>
    </row>
    <row r="120" spans="1:16" x14ac:dyDescent="0.3">
      <c r="A120" t="s">
        <v>2437</v>
      </c>
      <c r="B120" t="s">
        <v>62</v>
      </c>
      <c r="C120" s="51">
        <v>46310.583333333336</v>
      </c>
      <c r="D120" s="51">
        <v>46309.545138888891</v>
      </c>
      <c r="E120" t="s">
        <v>87</v>
      </c>
      <c r="F120" t="s">
        <v>53</v>
      </c>
      <c r="G120" t="s">
        <v>54</v>
      </c>
      <c r="H120" t="s">
        <v>63</v>
      </c>
      <c r="I120" t="s">
        <v>64</v>
      </c>
      <c r="J120" t="s">
        <v>65</v>
      </c>
      <c r="K120" t="s">
        <v>481</v>
      </c>
      <c r="L120" t="s">
        <v>470</v>
      </c>
      <c r="M120" t="s">
        <v>485</v>
      </c>
      <c r="O120" t="s">
        <v>52</v>
      </c>
      <c r="P120" t="s">
        <v>472</v>
      </c>
    </row>
    <row r="121" spans="1:16" x14ac:dyDescent="0.3">
      <c r="A121" t="s">
        <v>2438</v>
      </c>
      <c r="B121" t="s">
        <v>62</v>
      </c>
      <c r="C121" s="51">
        <v>46310.583333333336</v>
      </c>
      <c r="D121" s="51">
        <v>46309.544444444444</v>
      </c>
      <c r="E121" t="s">
        <v>87</v>
      </c>
      <c r="F121" t="s">
        <v>53</v>
      </c>
      <c r="G121" t="s">
        <v>54</v>
      </c>
      <c r="H121" t="s">
        <v>63</v>
      </c>
      <c r="I121" t="s">
        <v>64</v>
      </c>
      <c r="J121" t="s">
        <v>65</v>
      </c>
      <c r="K121" t="s">
        <v>481</v>
      </c>
      <c r="L121" t="s">
        <v>470</v>
      </c>
      <c r="M121" t="s">
        <v>485</v>
      </c>
      <c r="O121" t="s">
        <v>52</v>
      </c>
      <c r="P121" t="s">
        <v>472</v>
      </c>
    </row>
    <row r="122" spans="1:16" x14ac:dyDescent="0.3">
      <c r="A122" t="s">
        <v>2439</v>
      </c>
      <c r="B122" t="s">
        <v>62</v>
      </c>
      <c r="C122" s="51">
        <v>46310.583333333336</v>
      </c>
      <c r="D122" s="51">
        <v>46309.544444444444</v>
      </c>
      <c r="E122" t="s">
        <v>87</v>
      </c>
      <c r="F122" t="s">
        <v>53</v>
      </c>
      <c r="G122" t="s">
        <v>54</v>
      </c>
      <c r="H122" t="s">
        <v>63</v>
      </c>
      <c r="I122" t="s">
        <v>64</v>
      </c>
      <c r="J122" t="s">
        <v>65</v>
      </c>
      <c r="K122" t="s">
        <v>481</v>
      </c>
      <c r="L122" t="s">
        <v>470</v>
      </c>
      <c r="M122" t="s">
        <v>485</v>
      </c>
      <c r="O122" t="s">
        <v>52</v>
      </c>
      <c r="P122" t="s">
        <v>472</v>
      </c>
    </row>
    <row r="123" spans="1:16" x14ac:dyDescent="0.3">
      <c r="A123" t="s">
        <v>2440</v>
      </c>
      <c r="B123" t="s">
        <v>62</v>
      </c>
      <c r="C123" s="51">
        <v>46310.583333333336</v>
      </c>
      <c r="D123" s="51">
        <v>46309.544444444444</v>
      </c>
      <c r="E123" t="s">
        <v>87</v>
      </c>
      <c r="F123" t="s">
        <v>53</v>
      </c>
      <c r="G123" t="s">
        <v>54</v>
      </c>
      <c r="H123" t="s">
        <v>63</v>
      </c>
      <c r="I123" t="s">
        <v>64</v>
      </c>
      <c r="J123" t="s">
        <v>65</v>
      </c>
      <c r="K123" t="s">
        <v>481</v>
      </c>
      <c r="L123" t="s">
        <v>470</v>
      </c>
      <c r="M123" t="s">
        <v>485</v>
      </c>
      <c r="O123" t="s">
        <v>52</v>
      </c>
      <c r="P123" t="s">
        <v>472</v>
      </c>
    </row>
    <row r="124" spans="1:16" x14ac:dyDescent="0.3">
      <c r="A124" t="s">
        <v>2441</v>
      </c>
      <c r="B124" t="s">
        <v>62</v>
      </c>
      <c r="C124" s="51">
        <v>46310.583333333336</v>
      </c>
      <c r="D124" s="51">
        <v>46309.538888888892</v>
      </c>
      <c r="E124" t="s">
        <v>87</v>
      </c>
      <c r="F124" t="s">
        <v>53</v>
      </c>
      <c r="G124" t="s">
        <v>54</v>
      </c>
      <c r="H124" t="s">
        <v>63</v>
      </c>
      <c r="I124" t="s">
        <v>64</v>
      </c>
      <c r="J124" t="s">
        <v>65</v>
      </c>
      <c r="K124" t="s">
        <v>481</v>
      </c>
      <c r="L124" t="s">
        <v>470</v>
      </c>
      <c r="M124" t="s">
        <v>471</v>
      </c>
      <c r="O124" t="s">
        <v>52</v>
      </c>
      <c r="P124" t="s">
        <v>472</v>
      </c>
    </row>
    <row r="125" spans="1:16" x14ac:dyDescent="0.3">
      <c r="A125" t="s">
        <v>2442</v>
      </c>
      <c r="B125" t="s">
        <v>71</v>
      </c>
      <c r="C125" s="51">
        <v>46311.938194444447</v>
      </c>
      <c r="D125" s="51">
        <v>46309.538888888892</v>
      </c>
      <c r="E125" t="s">
        <v>87</v>
      </c>
      <c r="F125" t="s">
        <v>48</v>
      </c>
      <c r="G125" t="s">
        <v>49</v>
      </c>
      <c r="H125" t="s">
        <v>72</v>
      </c>
      <c r="I125" t="s">
        <v>73</v>
      </c>
      <c r="J125" t="s">
        <v>70</v>
      </c>
      <c r="K125" t="s">
        <v>469</v>
      </c>
      <c r="L125" t="s">
        <v>470</v>
      </c>
      <c r="M125" t="s">
        <v>471</v>
      </c>
      <c r="N125">
        <v>15803446</v>
      </c>
      <c r="O125" t="s">
        <v>52</v>
      </c>
      <c r="P125" t="s">
        <v>472</v>
      </c>
    </row>
    <row r="126" spans="1:16" x14ac:dyDescent="0.3">
      <c r="A126" t="s">
        <v>2443</v>
      </c>
      <c r="B126" t="s">
        <v>62</v>
      </c>
      <c r="C126" s="51">
        <v>46310.583333333336</v>
      </c>
      <c r="D126" s="51">
        <v>46309.526388888888</v>
      </c>
      <c r="E126" t="s">
        <v>87</v>
      </c>
      <c r="F126" t="s">
        <v>53</v>
      </c>
      <c r="G126" t="s">
        <v>54</v>
      </c>
      <c r="H126" t="s">
        <v>63</v>
      </c>
      <c r="I126" t="s">
        <v>64</v>
      </c>
      <c r="J126" t="s">
        <v>65</v>
      </c>
      <c r="K126" t="s">
        <v>481</v>
      </c>
      <c r="L126" t="s">
        <v>470</v>
      </c>
      <c r="M126" t="s">
        <v>471</v>
      </c>
      <c r="O126" t="s">
        <v>52</v>
      </c>
      <c r="P126" t="s">
        <v>472</v>
      </c>
    </row>
    <row r="127" spans="1:16" x14ac:dyDescent="0.3">
      <c r="A127" t="s">
        <v>2444</v>
      </c>
      <c r="B127" t="s">
        <v>67</v>
      </c>
      <c r="C127" s="51">
        <v>46311.938194444447</v>
      </c>
      <c r="D127" s="51">
        <v>46309.526388888888</v>
      </c>
      <c r="E127" t="s">
        <v>87</v>
      </c>
      <c r="F127" t="s">
        <v>48</v>
      </c>
      <c r="G127" t="s">
        <v>49</v>
      </c>
      <c r="H127" t="s">
        <v>68</v>
      </c>
      <c r="I127" t="s">
        <v>69</v>
      </c>
      <c r="J127" t="s">
        <v>70</v>
      </c>
      <c r="K127" t="s">
        <v>469</v>
      </c>
      <c r="L127" t="s">
        <v>470</v>
      </c>
      <c r="M127" t="s">
        <v>471</v>
      </c>
      <c r="N127">
        <v>15803428</v>
      </c>
      <c r="O127" t="s">
        <v>52</v>
      </c>
      <c r="P127" t="s">
        <v>472</v>
      </c>
    </row>
    <row r="128" spans="1:16" x14ac:dyDescent="0.3">
      <c r="A128" t="s">
        <v>2445</v>
      </c>
      <c r="B128" t="s">
        <v>62</v>
      </c>
      <c r="C128" s="51">
        <v>46310.583333333336</v>
      </c>
      <c r="D128" s="51">
        <v>46309.484027777777</v>
      </c>
      <c r="E128" t="s">
        <v>87</v>
      </c>
      <c r="F128" t="s">
        <v>53</v>
      </c>
      <c r="G128" t="s">
        <v>54</v>
      </c>
      <c r="H128" t="s">
        <v>63</v>
      </c>
      <c r="I128" t="s">
        <v>64</v>
      </c>
      <c r="J128" t="s">
        <v>65</v>
      </c>
      <c r="K128" t="s">
        <v>481</v>
      </c>
      <c r="L128" t="s">
        <v>470</v>
      </c>
      <c r="M128" t="s">
        <v>471</v>
      </c>
      <c r="O128" t="s">
        <v>52</v>
      </c>
      <c r="P128" t="s">
        <v>472</v>
      </c>
    </row>
    <row r="129" spans="1:16" x14ac:dyDescent="0.3">
      <c r="A129" t="s">
        <v>2446</v>
      </c>
      <c r="B129" t="s">
        <v>62</v>
      </c>
      <c r="C129" s="51">
        <v>46310.583333333336</v>
      </c>
      <c r="D129" s="51">
        <v>46309.48333333333</v>
      </c>
      <c r="E129" t="s">
        <v>87</v>
      </c>
      <c r="F129" t="s">
        <v>53</v>
      </c>
      <c r="G129" t="s">
        <v>54</v>
      </c>
      <c r="H129" t="s">
        <v>63</v>
      </c>
      <c r="I129" t="s">
        <v>64</v>
      </c>
      <c r="J129" t="s">
        <v>65</v>
      </c>
      <c r="K129" t="s">
        <v>481</v>
      </c>
      <c r="L129" t="s">
        <v>470</v>
      </c>
      <c r="M129" t="s">
        <v>471</v>
      </c>
      <c r="O129" t="s">
        <v>52</v>
      </c>
      <c r="P129" t="s">
        <v>472</v>
      </c>
    </row>
    <row r="130" spans="1:16" x14ac:dyDescent="0.3">
      <c r="A130" t="s">
        <v>2447</v>
      </c>
      <c r="B130" t="s">
        <v>62</v>
      </c>
      <c r="C130" s="51">
        <v>46310.583333333336</v>
      </c>
      <c r="D130" s="51">
        <v>46309.48333333333</v>
      </c>
      <c r="E130" t="s">
        <v>87</v>
      </c>
      <c r="F130" t="s">
        <v>53</v>
      </c>
      <c r="G130" t="s">
        <v>54</v>
      </c>
      <c r="H130" t="s">
        <v>63</v>
      </c>
      <c r="I130" t="s">
        <v>64</v>
      </c>
      <c r="J130" t="s">
        <v>65</v>
      </c>
      <c r="K130" t="s">
        <v>481</v>
      </c>
      <c r="L130" t="s">
        <v>470</v>
      </c>
      <c r="M130" t="s">
        <v>471</v>
      </c>
      <c r="O130" t="s">
        <v>52</v>
      </c>
      <c r="P130" t="s">
        <v>472</v>
      </c>
    </row>
    <row r="131" spans="1:16" x14ac:dyDescent="0.3">
      <c r="A131" t="s">
        <v>2448</v>
      </c>
      <c r="B131" t="s">
        <v>62</v>
      </c>
      <c r="C131" s="51">
        <v>46310.583333333336</v>
      </c>
      <c r="D131" s="51">
        <v>46309.48333333333</v>
      </c>
      <c r="E131" t="s">
        <v>87</v>
      </c>
      <c r="F131" t="s">
        <v>53</v>
      </c>
      <c r="G131" t="s">
        <v>54</v>
      </c>
      <c r="H131" t="s">
        <v>63</v>
      </c>
      <c r="I131" t="s">
        <v>64</v>
      </c>
      <c r="J131" t="s">
        <v>65</v>
      </c>
      <c r="K131" t="s">
        <v>481</v>
      </c>
      <c r="L131" t="s">
        <v>470</v>
      </c>
      <c r="M131" t="s">
        <v>471</v>
      </c>
      <c r="O131" t="s">
        <v>52</v>
      </c>
      <c r="P131" t="s">
        <v>472</v>
      </c>
    </row>
    <row r="132" spans="1:16" x14ac:dyDescent="0.3">
      <c r="A132" t="s">
        <v>2449</v>
      </c>
      <c r="B132" t="s">
        <v>62</v>
      </c>
      <c r="C132" s="51">
        <v>46310.583333333336</v>
      </c>
      <c r="D132" s="51">
        <v>46309.48333333333</v>
      </c>
      <c r="E132" t="s">
        <v>87</v>
      </c>
      <c r="F132" t="s">
        <v>53</v>
      </c>
      <c r="G132" t="s">
        <v>54</v>
      </c>
      <c r="H132" t="s">
        <v>63</v>
      </c>
      <c r="I132" t="s">
        <v>64</v>
      </c>
      <c r="J132" t="s">
        <v>65</v>
      </c>
      <c r="K132" t="s">
        <v>481</v>
      </c>
      <c r="L132" t="s">
        <v>470</v>
      </c>
      <c r="M132" t="s">
        <v>471</v>
      </c>
      <c r="O132" t="s">
        <v>52</v>
      </c>
      <c r="P132" t="s">
        <v>472</v>
      </c>
    </row>
    <row r="133" spans="1:16" x14ac:dyDescent="0.3">
      <c r="A133" t="s">
        <v>2450</v>
      </c>
      <c r="B133" t="s">
        <v>47</v>
      </c>
      <c r="C133" s="51">
        <v>46311.938194444447</v>
      </c>
      <c r="D133" s="51">
        <v>46309.48333333333</v>
      </c>
      <c r="E133" t="s">
        <v>87</v>
      </c>
      <c r="F133" t="s">
        <v>48</v>
      </c>
      <c r="G133" t="s">
        <v>49</v>
      </c>
      <c r="H133" t="s">
        <v>50</v>
      </c>
      <c r="I133" t="s">
        <v>92</v>
      </c>
      <c r="J133" t="s">
        <v>51</v>
      </c>
      <c r="K133" t="s">
        <v>469</v>
      </c>
      <c r="L133" t="s">
        <v>470</v>
      </c>
      <c r="M133" t="s">
        <v>471</v>
      </c>
      <c r="N133">
        <v>15803414</v>
      </c>
      <c r="O133" t="s">
        <v>52</v>
      </c>
      <c r="P133" t="s">
        <v>472</v>
      </c>
    </row>
    <row r="134" spans="1:16" x14ac:dyDescent="0.3">
      <c r="A134" t="s">
        <v>2451</v>
      </c>
      <c r="B134" t="s">
        <v>62</v>
      </c>
      <c r="C134" s="51">
        <v>46310.583333333336</v>
      </c>
      <c r="D134" s="51">
        <v>46309.48333333333</v>
      </c>
      <c r="E134" t="s">
        <v>87</v>
      </c>
      <c r="F134" t="s">
        <v>53</v>
      </c>
      <c r="G134" t="s">
        <v>54</v>
      </c>
      <c r="H134" t="s">
        <v>63</v>
      </c>
      <c r="I134" t="s">
        <v>64</v>
      </c>
      <c r="J134" t="s">
        <v>65</v>
      </c>
      <c r="K134" t="s">
        <v>481</v>
      </c>
      <c r="L134" t="s">
        <v>470</v>
      </c>
      <c r="M134" t="s">
        <v>471</v>
      </c>
      <c r="O134" t="s">
        <v>52</v>
      </c>
      <c r="P134" t="s">
        <v>472</v>
      </c>
    </row>
    <row r="135" spans="1:16" x14ac:dyDescent="0.3">
      <c r="A135" t="s">
        <v>2452</v>
      </c>
      <c r="B135" t="s">
        <v>47</v>
      </c>
      <c r="C135" s="51">
        <v>46310.583333333336</v>
      </c>
      <c r="D135" s="51">
        <v>46309.48333333333</v>
      </c>
      <c r="E135" t="s">
        <v>87</v>
      </c>
      <c r="F135" t="s">
        <v>48</v>
      </c>
      <c r="G135" t="s">
        <v>49</v>
      </c>
      <c r="H135" t="s">
        <v>50</v>
      </c>
      <c r="I135" t="s">
        <v>92</v>
      </c>
      <c r="J135" t="s">
        <v>51</v>
      </c>
      <c r="K135" t="s">
        <v>469</v>
      </c>
      <c r="L135" t="s">
        <v>470</v>
      </c>
      <c r="M135" t="s">
        <v>471</v>
      </c>
      <c r="N135">
        <v>15803392</v>
      </c>
      <c r="O135" t="s">
        <v>52</v>
      </c>
      <c r="P135" t="s">
        <v>472</v>
      </c>
    </row>
    <row r="136" spans="1:16" x14ac:dyDescent="0.3">
      <c r="A136" t="s">
        <v>2453</v>
      </c>
      <c r="B136" t="s">
        <v>62</v>
      </c>
      <c r="C136" s="51">
        <v>46310.541666666664</v>
      </c>
      <c r="D136" s="51">
        <v>46309.481249999997</v>
      </c>
      <c r="E136" t="s">
        <v>87</v>
      </c>
      <c r="F136" t="s">
        <v>53</v>
      </c>
      <c r="G136" t="s">
        <v>54</v>
      </c>
      <c r="H136" t="s">
        <v>63</v>
      </c>
      <c r="I136" t="s">
        <v>64</v>
      </c>
      <c r="J136" t="s">
        <v>65</v>
      </c>
      <c r="K136" t="s">
        <v>481</v>
      </c>
      <c r="L136" t="s">
        <v>470</v>
      </c>
      <c r="M136" t="s">
        <v>471</v>
      </c>
      <c r="O136" t="s">
        <v>52</v>
      </c>
      <c r="P136" t="s">
        <v>472</v>
      </c>
    </row>
    <row r="137" spans="1:16" x14ac:dyDescent="0.3">
      <c r="A137" t="s">
        <v>2454</v>
      </c>
      <c r="B137" t="s">
        <v>74</v>
      </c>
      <c r="C137" s="51">
        <v>46311.938194444447</v>
      </c>
      <c r="D137" s="51">
        <v>46309.480555555558</v>
      </c>
      <c r="E137" t="s">
        <v>87</v>
      </c>
      <c r="F137" t="s">
        <v>48</v>
      </c>
      <c r="G137" t="s">
        <v>49</v>
      </c>
      <c r="H137" t="s">
        <v>75</v>
      </c>
      <c r="I137" t="s">
        <v>76</v>
      </c>
      <c r="J137" t="s">
        <v>70</v>
      </c>
      <c r="K137" t="s">
        <v>469</v>
      </c>
      <c r="L137" t="s">
        <v>470</v>
      </c>
      <c r="M137" t="s">
        <v>471</v>
      </c>
      <c r="N137">
        <v>15802858</v>
      </c>
      <c r="O137" t="s">
        <v>52</v>
      </c>
      <c r="P137" t="s">
        <v>472</v>
      </c>
    </row>
    <row r="138" spans="1:16" x14ac:dyDescent="0.3">
      <c r="A138" t="s">
        <v>2455</v>
      </c>
      <c r="B138" t="s">
        <v>62</v>
      </c>
      <c r="C138" s="51">
        <v>46310.5</v>
      </c>
      <c r="D138" s="51">
        <v>46309.442361111112</v>
      </c>
      <c r="E138" t="s">
        <v>87</v>
      </c>
      <c r="F138" t="s">
        <v>53</v>
      </c>
      <c r="G138" t="s">
        <v>54</v>
      </c>
      <c r="H138" t="s">
        <v>63</v>
      </c>
      <c r="I138" t="s">
        <v>64</v>
      </c>
      <c r="J138" t="s">
        <v>65</v>
      </c>
      <c r="K138" t="s">
        <v>481</v>
      </c>
      <c r="L138" t="s">
        <v>470</v>
      </c>
      <c r="M138" t="s">
        <v>471</v>
      </c>
      <c r="O138" t="s">
        <v>52</v>
      </c>
      <c r="P138" t="s">
        <v>472</v>
      </c>
    </row>
    <row r="139" spans="1:16" x14ac:dyDescent="0.3">
      <c r="A139" t="s">
        <v>2456</v>
      </c>
      <c r="B139" t="s">
        <v>67</v>
      </c>
      <c r="C139" s="51">
        <v>46311.938194444447</v>
      </c>
      <c r="D139" s="51">
        <v>46309.442361111112</v>
      </c>
      <c r="E139" t="s">
        <v>87</v>
      </c>
      <c r="F139" t="s">
        <v>48</v>
      </c>
      <c r="G139" t="s">
        <v>49</v>
      </c>
      <c r="H139" t="s">
        <v>68</v>
      </c>
      <c r="I139" t="s">
        <v>69</v>
      </c>
      <c r="J139" t="s">
        <v>70</v>
      </c>
      <c r="K139" t="s">
        <v>469</v>
      </c>
      <c r="L139" t="s">
        <v>470</v>
      </c>
      <c r="M139" t="s">
        <v>471</v>
      </c>
      <c r="N139">
        <v>15802674</v>
      </c>
      <c r="O139" t="s">
        <v>52</v>
      </c>
      <c r="P139" t="s">
        <v>472</v>
      </c>
    </row>
    <row r="140" spans="1:16" x14ac:dyDescent="0.3">
      <c r="A140" t="s">
        <v>2457</v>
      </c>
      <c r="B140" t="s">
        <v>62</v>
      </c>
      <c r="C140" s="51">
        <v>46310.458333333336</v>
      </c>
      <c r="D140" s="51">
        <v>46309.415972222225</v>
      </c>
      <c r="E140" t="s">
        <v>87</v>
      </c>
      <c r="F140" t="s">
        <v>53</v>
      </c>
      <c r="G140" t="s">
        <v>54</v>
      </c>
      <c r="H140" t="s">
        <v>63</v>
      </c>
      <c r="I140" t="s">
        <v>64</v>
      </c>
      <c r="J140" t="s">
        <v>65</v>
      </c>
      <c r="K140" t="s">
        <v>481</v>
      </c>
      <c r="L140" t="s">
        <v>470</v>
      </c>
      <c r="M140" t="s">
        <v>471</v>
      </c>
      <c r="O140" t="s">
        <v>52</v>
      </c>
      <c r="P140" t="s">
        <v>472</v>
      </c>
    </row>
    <row r="141" spans="1:16" x14ac:dyDescent="0.3">
      <c r="A141" t="s">
        <v>2458</v>
      </c>
      <c r="B141" t="s">
        <v>74</v>
      </c>
      <c r="C141" s="51">
        <v>46311.938194444447</v>
      </c>
      <c r="D141" s="51">
        <v>46309.415972222225</v>
      </c>
      <c r="E141" t="s">
        <v>87</v>
      </c>
      <c r="F141" t="s">
        <v>48</v>
      </c>
      <c r="G141" t="s">
        <v>49</v>
      </c>
      <c r="H141" t="s">
        <v>75</v>
      </c>
      <c r="I141" t="s">
        <v>86</v>
      </c>
      <c r="J141" t="s">
        <v>70</v>
      </c>
      <c r="K141" t="s">
        <v>469</v>
      </c>
      <c r="L141" t="s">
        <v>470</v>
      </c>
      <c r="M141" t="s">
        <v>471</v>
      </c>
      <c r="N141">
        <v>15802612</v>
      </c>
      <c r="O141" t="s">
        <v>52</v>
      </c>
      <c r="P141" t="s">
        <v>472</v>
      </c>
    </row>
    <row r="142" spans="1:16" x14ac:dyDescent="0.3">
      <c r="A142" t="s">
        <v>2459</v>
      </c>
      <c r="B142" t="s">
        <v>62</v>
      </c>
      <c r="C142" s="51">
        <v>46310.416666666664</v>
      </c>
      <c r="D142" s="51">
        <v>46309.36041666667</v>
      </c>
      <c r="E142" t="s">
        <v>87</v>
      </c>
      <c r="F142" t="s">
        <v>53</v>
      </c>
      <c r="G142" t="s">
        <v>54</v>
      </c>
      <c r="H142" t="s">
        <v>63</v>
      </c>
      <c r="I142" t="s">
        <v>64</v>
      </c>
      <c r="J142" t="s">
        <v>65</v>
      </c>
      <c r="K142" t="s">
        <v>481</v>
      </c>
      <c r="L142" t="s">
        <v>470</v>
      </c>
      <c r="M142" t="s">
        <v>471</v>
      </c>
      <c r="O142" t="s">
        <v>52</v>
      </c>
      <c r="P142" t="s">
        <v>472</v>
      </c>
    </row>
    <row r="143" spans="1:16" x14ac:dyDescent="0.3">
      <c r="A143" t="s">
        <v>2460</v>
      </c>
      <c r="B143" t="s">
        <v>74</v>
      </c>
      <c r="C143" s="51">
        <v>46310.416666666664</v>
      </c>
      <c r="D143" s="51">
        <v>46309.359722222223</v>
      </c>
      <c r="E143" t="s">
        <v>87</v>
      </c>
      <c r="F143" t="s">
        <v>48</v>
      </c>
      <c r="G143" t="s">
        <v>49</v>
      </c>
      <c r="H143" t="s">
        <v>75</v>
      </c>
      <c r="I143" t="s">
        <v>76</v>
      </c>
      <c r="J143" t="s">
        <v>70</v>
      </c>
      <c r="K143" t="s">
        <v>469</v>
      </c>
      <c r="L143" t="s">
        <v>470</v>
      </c>
      <c r="M143" t="s">
        <v>471</v>
      </c>
      <c r="N143">
        <v>15801818</v>
      </c>
      <c r="O143" t="s">
        <v>52</v>
      </c>
      <c r="P143" t="s">
        <v>472</v>
      </c>
    </row>
    <row r="144" spans="1:16" x14ac:dyDescent="0.3">
      <c r="A144" t="s">
        <v>2461</v>
      </c>
      <c r="B144" t="s">
        <v>62</v>
      </c>
      <c r="C144" s="51">
        <v>46310.416666666664</v>
      </c>
      <c r="D144" s="51">
        <v>46309.354166666664</v>
      </c>
      <c r="E144" t="s">
        <v>87</v>
      </c>
      <c r="F144" t="s">
        <v>53</v>
      </c>
      <c r="G144" t="s">
        <v>54</v>
      </c>
      <c r="H144" t="s">
        <v>63</v>
      </c>
      <c r="I144" t="s">
        <v>64</v>
      </c>
      <c r="J144" t="s">
        <v>65</v>
      </c>
      <c r="K144" t="s">
        <v>481</v>
      </c>
      <c r="L144" t="s">
        <v>470</v>
      </c>
      <c r="M144" t="s">
        <v>471</v>
      </c>
      <c r="O144" t="s">
        <v>52</v>
      </c>
      <c r="P144" t="s">
        <v>472</v>
      </c>
    </row>
    <row r="145" spans="1:16" x14ac:dyDescent="0.3">
      <c r="A145" t="s">
        <v>2462</v>
      </c>
      <c r="B145" t="s">
        <v>62</v>
      </c>
      <c r="C145" s="51">
        <v>46310.416666666664</v>
      </c>
      <c r="D145" s="51">
        <v>46309.354166666664</v>
      </c>
      <c r="E145" t="s">
        <v>87</v>
      </c>
      <c r="F145" t="s">
        <v>53</v>
      </c>
      <c r="G145" t="s">
        <v>54</v>
      </c>
      <c r="H145" t="s">
        <v>63</v>
      </c>
      <c r="I145" t="s">
        <v>64</v>
      </c>
      <c r="J145" t="s">
        <v>65</v>
      </c>
      <c r="K145" t="s">
        <v>481</v>
      </c>
      <c r="L145" t="s">
        <v>470</v>
      </c>
      <c r="M145" t="s">
        <v>471</v>
      </c>
      <c r="O145" t="s">
        <v>52</v>
      </c>
      <c r="P145" t="s">
        <v>472</v>
      </c>
    </row>
    <row r="146" spans="1:16" x14ac:dyDescent="0.3">
      <c r="A146" t="s">
        <v>2463</v>
      </c>
      <c r="B146" t="s">
        <v>67</v>
      </c>
      <c r="C146" s="51">
        <v>46310.416666666664</v>
      </c>
      <c r="D146" s="51">
        <v>46309.354166666664</v>
      </c>
      <c r="E146" t="s">
        <v>87</v>
      </c>
      <c r="F146" t="s">
        <v>48</v>
      </c>
      <c r="G146" t="s">
        <v>49</v>
      </c>
      <c r="H146" t="s">
        <v>68</v>
      </c>
      <c r="I146" t="s">
        <v>69</v>
      </c>
      <c r="J146" t="s">
        <v>70</v>
      </c>
      <c r="K146" t="s">
        <v>469</v>
      </c>
      <c r="L146" t="s">
        <v>470</v>
      </c>
      <c r="M146" t="s">
        <v>471</v>
      </c>
      <c r="N146">
        <v>15801626</v>
      </c>
      <c r="O146" t="s">
        <v>52</v>
      </c>
      <c r="P146" t="s">
        <v>472</v>
      </c>
    </row>
    <row r="147" spans="1:16" x14ac:dyDescent="0.3">
      <c r="A147" t="s">
        <v>2464</v>
      </c>
      <c r="B147" t="s">
        <v>67</v>
      </c>
      <c r="C147" s="51">
        <v>46310.375</v>
      </c>
      <c r="D147" s="51">
        <v>46309.354166666664</v>
      </c>
      <c r="E147" t="s">
        <v>87</v>
      </c>
      <c r="F147" t="s">
        <v>48</v>
      </c>
      <c r="G147" t="s">
        <v>49</v>
      </c>
      <c r="H147" t="s">
        <v>68</v>
      </c>
      <c r="I147" t="s">
        <v>69</v>
      </c>
      <c r="J147" t="s">
        <v>70</v>
      </c>
      <c r="K147" t="s">
        <v>469</v>
      </c>
      <c r="L147" t="s">
        <v>470</v>
      </c>
      <c r="M147" t="s">
        <v>471</v>
      </c>
      <c r="N147">
        <v>15801442</v>
      </c>
      <c r="O147" t="s">
        <v>52</v>
      </c>
      <c r="P147" t="s">
        <v>472</v>
      </c>
    </row>
    <row r="148" spans="1:16" x14ac:dyDescent="0.3">
      <c r="A148" t="s">
        <v>2465</v>
      </c>
      <c r="B148" t="s">
        <v>62</v>
      </c>
      <c r="C148" s="51">
        <v>46310.375</v>
      </c>
      <c r="D148" s="51">
        <v>46309.340277777781</v>
      </c>
      <c r="E148" t="s">
        <v>87</v>
      </c>
      <c r="F148" t="s">
        <v>53</v>
      </c>
      <c r="G148" t="s">
        <v>54</v>
      </c>
      <c r="H148" t="s">
        <v>63</v>
      </c>
      <c r="I148" t="s">
        <v>64</v>
      </c>
      <c r="J148" t="s">
        <v>65</v>
      </c>
      <c r="K148" t="s">
        <v>481</v>
      </c>
      <c r="L148" t="s">
        <v>470</v>
      </c>
      <c r="M148" t="s">
        <v>471</v>
      </c>
      <c r="O148" t="s">
        <v>52</v>
      </c>
      <c r="P148" t="s">
        <v>472</v>
      </c>
    </row>
    <row r="149" spans="1:16" x14ac:dyDescent="0.3">
      <c r="A149" t="s">
        <v>2466</v>
      </c>
      <c r="B149" t="s">
        <v>67</v>
      </c>
      <c r="C149" s="51">
        <v>46311.938194444447</v>
      </c>
      <c r="D149" s="51">
        <v>46309.340277777781</v>
      </c>
      <c r="E149" t="s">
        <v>87</v>
      </c>
      <c r="F149" t="s">
        <v>48</v>
      </c>
      <c r="G149" t="s">
        <v>49</v>
      </c>
      <c r="H149" t="s">
        <v>68</v>
      </c>
      <c r="I149" t="s">
        <v>69</v>
      </c>
      <c r="J149" t="s">
        <v>70</v>
      </c>
      <c r="K149" t="s">
        <v>469</v>
      </c>
      <c r="L149" t="s">
        <v>470</v>
      </c>
      <c r="M149" t="s">
        <v>471</v>
      </c>
      <c r="N149">
        <v>15801622</v>
      </c>
      <c r="O149" t="s">
        <v>52</v>
      </c>
      <c r="P149" t="s">
        <v>472</v>
      </c>
    </row>
    <row r="150" spans="1:16" x14ac:dyDescent="0.3">
      <c r="A150" t="s">
        <v>2467</v>
      </c>
      <c r="B150" t="s">
        <v>62</v>
      </c>
      <c r="C150" s="51">
        <v>46310.291666666664</v>
      </c>
      <c r="D150" s="51">
        <v>46309.257638888892</v>
      </c>
      <c r="E150" t="s">
        <v>87</v>
      </c>
      <c r="F150" t="s">
        <v>53</v>
      </c>
      <c r="G150" t="s">
        <v>54</v>
      </c>
      <c r="H150" t="s">
        <v>63</v>
      </c>
      <c r="I150" t="s">
        <v>64</v>
      </c>
      <c r="J150" t="s">
        <v>65</v>
      </c>
      <c r="K150" t="s">
        <v>481</v>
      </c>
      <c r="L150" t="s">
        <v>470</v>
      </c>
      <c r="M150" t="s">
        <v>471</v>
      </c>
      <c r="O150" t="s">
        <v>52</v>
      </c>
      <c r="P150" t="s">
        <v>472</v>
      </c>
    </row>
    <row r="151" spans="1:16" x14ac:dyDescent="0.3">
      <c r="A151" t="s">
        <v>2468</v>
      </c>
      <c r="B151" t="s">
        <v>67</v>
      </c>
      <c r="C151" s="51">
        <v>46310.375</v>
      </c>
      <c r="D151" s="51">
        <v>46309.111805555556</v>
      </c>
      <c r="E151" t="s">
        <v>87</v>
      </c>
      <c r="F151" t="s">
        <v>48</v>
      </c>
      <c r="G151" t="s">
        <v>49</v>
      </c>
      <c r="H151" t="s">
        <v>68</v>
      </c>
      <c r="I151" t="s">
        <v>69</v>
      </c>
      <c r="J151" t="s">
        <v>70</v>
      </c>
      <c r="K151" t="s">
        <v>469</v>
      </c>
      <c r="L151" t="s">
        <v>470</v>
      </c>
      <c r="M151" t="s">
        <v>471</v>
      </c>
      <c r="N151">
        <v>15801000</v>
      </c>
      <c r="O151" t="s">
        <v>52</v>
      </c>
      <c r="P151" t="s">
        <v>472</v>
      </c>
    </row>
    <row r="152" spans="1:16" x14ac:dyDescent="0.3">
      <c r="A152" t="s">
        <v>2469</v>
      </c>
      <c r="B152" t="s">
        <v>62</v>
      </c>
      <c r="C152" s="51">
        <v>46310.333333333336</v>
      </c>
      <c r="D152" s="51">
        <v>46309.111111111109</v>
      </c>
      <c r="E152" t="s">
        <v>87</v>
      </c>
      <c r="F152" t="s">
        <v>53</v>
      </c>
      <c r="G152" t="s">
        <v>54</v>
      </c>
      <c r="H152" t="s">
        <v>63</v>
      </c>
      <c r="I152" t="s">
        <v>64</v>
      </c>
      <c r="J152" t="s">
        <v>65</v>
      </c>
      <c r="K152" t="s">
        <v>481</v>
      </c>
      <c r="L152" t="s">
        <v>470</v>
      </c>
      <c r="M152" t="s">
        <v>471</v>
      </c>
      <c r="O152" t="s">
        <v>52</v>
      </c>
      <c r="P152" t="s">
        <v>472</v>
      </c>
    </row>
    <row r="153" spans="1:16" x14ac:dyDescent="0.3">
      <c r="A153" t="s">
        <v>2470</v>
      </c>
      <c r="B153" t="s">
        <v>62</v>
      </c>
      <c r="C153" s="51">
        <v>46310.291666666664</v>
      </c>
      <c r="D153" s="51">
        <v>46308.918055555558</v>
      </c>
      <c r="E153" t="s">
        <v>87</v>
      </c>
      <c r="F153" t="s">
        <v>53</v>
      </c>
      <c r="G153" t="s">
        <v>54</v>
      </c>
      <c r="H153" t="s">
        <v>63</v>
      </c>
      <c r="I153" t="s">
        <v>64</v>
      </c>
      <c r="J153" t="s">
        <v>65</v>
      </c>
      <c r="K153" t="s">
        <v>481</v>
      </c>
      <c r="L153" t="s">
        <v>470</v>
      </c>
      <c r="M153" t="s">
        <v>485</v>
      </c>
      <c r="O153" t="s">
        <v>52</v>
      </c>
      <c r="P153" t="s">
        <v>472</v>
      </c>
    </row>
    <row r="154" spans="1:16" x14ac:dyDescent="0.3">
      <c r="A154" t="s">
        <v>2471</v>
      </c>
      <c r="B154" t="s">
        <v>47</v>
      </c>
      <c r="C154" s="51">
        <v>46310.375</v>
      </c>
      <c r="D154" s="51">
        <v>46308.913194444445</v>
      </c>
      <c r="E154" t="s">
        <v>87</v>
      </c>
      <c r="F154" t="s">
        <v>48</v>
      </c>
      <c r="G154" t="s">
        <v>49</v>
      </c>
      <c r="H154" t="s">
        <v>50</v>
      </c>
      <c r="I154" t="s">
        <v>66</v>
      </c>
      <c r="J154" t="s">
        <v>51</v>
      </c>
      <c r="K154" t="s">
        <v>469</v>
      </c>
      <c r="L154" t="s">
        <v>470</v>
      </c>
      <c r="M154" t="s">
        <v>471</v>
      </c>
      <c r="N154">
        <v>15801206</v>
      </c>
      <c r="O154" t="s">
        <v>52</v>
      </c>
      <c r="P154" t="s">
        <v>472</v>
      </c>
    </row>
    <row r="155" spans="1:16" x14ac:dyDescent="0.3">
      <c r="A155" t="s">
        <v>2472</v>
      </c>
      <c r="B155" t="s">
        <v>67</v>
      </c>
      <c r="C155" s="51">
        <v>46311.938194444447</v>
      </c>
      <c r="D155" s="51">
        <v>46308.906944444447</v>
      </c>
      <c r="E155" t="s">
        <v>87</v>
      </c>
      <c r="F155" t="s">
        <v>48</v>
      </c>
      <c r="G155" t="s">
        <v>49</v>
      </c>
      <c r="H155" t="s">
        <v>68</v>
      </c>
      <c r="I155" t="s">
        <v>69</v>
      </c>
      <c r="J155" t="s">
        <v>70</v>
      </c>
      <c r="K155" t="s">
        <v>469</v>
      </c>
      <c r="L155" t="s">
        <v>470</v>
      </c>
      <c r="M155" t="s">
        <v>471</v>
      </c>
      <c r="N155">
        <v>15800996</v>
      </c>
      <c r="O155" t="s">
        <v>52</v>
      </c>
      <c r="P155" t="s">
        <v>472</v>
      </c>
    </row>
    <row r="156" spans="1:16" x14ac:dyDescent="0.3">
      <c r="A156" t="s">
        <v>2473</v>
      </c>
      <c r="B156" t="s">
        <v>62</v>
      </c>
      <c r="C156" s="51">
        <v>46310.333333333336</v>
      </c>
      <c r="D156" s="51">
        <v>46308.906944444447</v>
      </c>
      <c r="E156" t="s">
        <v>87</v>
      </c>
      <c r="F156" t="s">
        <v>53</v>
      </c>
      <c r="G156" t="s">
        <v>54</v>
      </c>
      <c r="H156" t="s">
        <v>63</v>
      </c>
      <c r="I156" t="s">
        <v>64</v>
      </c>
      <c r="J156" t="s">
        <v>65</v>
      </c>
      <c r="K156" t="s">
        <v>481</v>
      </c>
      <c r="L156" t="s">
        <v>470</v>
      </c>
      <c r="M156" t="s">
        <v>471</v>
      </c>
      <c r="O156" t="s">
        <v>52</v>
      </c>
      <c r="P156" t="s">
        <v>472</v>
      </c>
    </row>
    <row r="157" spans="1:16" x14ac:dyDescent="0.3">
      <c r="A157" t="s">
        <v>2474</v>
      </c>
      <c r="B157" t="s">
        <v>47</v>
      </c>
      <c r="C157" s="51">
        <v>46311.938194444447</v>
      </c>
      <c r="D157" s="51">
        <v>46308.88958333333</v>
      </c>
      <c r="E157" t="s">
        <v>87</v>
      </c>
      <c r="F157" t="s">
        <v>48</v>
      </c>
      <c r="G157" t="s">
        <v>49</v>
      </c>
      <c r="H157" t="s">
        <v>50</v>
      </c>
      <c r="I157" t="s">
        <v>66</v>
      </c>
      <c r="J157" t="s">
        <v>51</v>
      </c>
      <c r="K157" t="s">
        <v>469</v>
      </c>
      <c r="L157" t="s">
        <v>470</v>
      </c>
      <c r="M157" t="s">
        <v>471</v>
      </c>
      <c r="N157">
        <v>15800992</v>
      </c>
      <c r="O157" t="s">
        <v>52</v>
      </c>
      <c r="P157" t="s">
        <v>472</v>
      </c>
    </row>
    <row r="158" spans="1:16" x14ac:dyDescent="0.3">
      <c r="A158" t="s">
        <v>2475</v>
      </c>
      <c r="B158" t="s">
        <v>47</v>
      </c>
      <c r="C158" s="51">
        <v>46310.375</v>
      </c>
      <c r="D158" s="51">
        <v>46308.856249999997</v>
      </c>
      <c r="E158" t="s">
        <v>87</v>
      </c>
      <c r="F158" t="s">
        <v>48</v>
      </c>
      <c r="G158" t="s">
        <v>49</v>
      </c>
      <c r="H158" t="s">
        <v>50</v>
      </c>
      <c r="I158" t="s">
        <v>92</v>
      </c>
      <c r="J158" t="s">
        <v>51</v>
      </c>
      <c r="K158" t="s">
        <v>469</v>
      </c>
      <c r="L158" t="s">
        <v>470</v>
      </c>
      <c r="M158" t="s">
        <v>471</v>
      </c>
      <c r="N158">
        <v>15801218</v>
      </c>
      <c r="O158" t="s">
        <v>52</v>
      </c>
      <c r="P158" t="s">
        <v>472</v>
      </c>
    </row>
    <row r="159" spans="1:16" x14ac:dyDescent="0.3">
      <c r="A159" t="s">
        <v>2476</v>
      </c>
      <c r="B159" t="s">
        <v>62</v>
      </c>
      <c r="C159" s="51">
        <v>46310.333333333336</v>
      </c>
      <c r="D159" s="51">
        <v>46308.856249999997</v>
      </c>
      <c r="E159" t="s">
        <v>87</v>
      </c>
      <c r="F159" t="s">
        <v>53</v>
      </c>
      <c r="G159" t="s">
        <v>54</v>
      </c>
      <c r="H159" t="s">
        <v>63</v>
      </c>
      <c r="I159" t="s">
        <v>64</v>
      </c>
      <c r="J159" t="s">
        <v>65</v>
      </c>
      <c r="K159" t="s">
        <v>481</v>
      </c>
      <c r="L159" t="s">
        <v>470</v>
      </c>
      <c r="M159" t="s">
        <v>471</v>
      </c>
      <c r="O159" t="s">
        <v>52</v>
      </c>
      <c r="P159" t="s">
        <v>472</v>
      </c>
    </row>
    <row r="160" spans="1:16" x14ac:dyDescent="0.3">
      <c r="A160" t="s">
        <v>2477</v>
      </c>
      <c r="B160" t="s">
        <v>47</v>
      </c>
      <c r="C160" s="51">
        <v>46309.833333333336</v>
      </c>
      <c r="D160" s="51">
        <v>46308.79791666667</v>
      </c>
      <c r="E160" t="s">
        <v>87</v>
      </c>
      <c r="F160" t="s">
        <v>48</v>
      </c>
      <c r="G160" t="s">
        <v>49</v>
      </c>
      <c r="H160" t="s">
        <v>50</v>
      </c>
      <c r="I160" t="s">
        <v>66</v>
      </c>
      <c r="J160" t="s">
        <v>51</v>
      </c>
      <c r="K160" t="s">
        <v>469</v>
      </c>
      <c r="L160" t="s">
        <v>470</v>
      </c>
      <c r="M160" t="s">
        <v>471</v>
      </c>
      <c r="O160" t="s">
        <v>52</v>
      </c>
      <c r="P160" t="s">
        <v>472</v>
      </c>
    </row>
    <row r="161" spans="1:16" x14ac:dyDescent="0.3">
      <c r="A161" t="s">
        <v>2478</v>
      </c>
      <c r="B161" t="s">
        <v>47</v>
      </c>
      <c r="C161" s="51">
        <v>46309.833333333336</v>
      </c>
      <c r="D161" s="51">
        <v>46308.79791666667</v>
      </c>
      <c r="E161" t="s">
        <v>87</v>
      </c>
      <c r="F161" t="s">
        <v>48</v>
      </c>
      <c r="G161" t="s">
        <v>49</v>
      </c>
      <c r="H161" t="s">
        <v>50</v>
      </c>
      <c r="I161" t="s">
        <v>66</v>
      </c>
      <c r="J161" t="s">
        <v>51</v>
      </c>
      <c r="K161" t="s">
        <v>469</v>
      </c>
      <c r="L161" t="s">
        <v>470</v>
      </c>
      <c r="M161" t="s">
        <v>471</v>
      </c>
      <c r="O161" t="s">
        <v>52</v>
      </c>
      <c r="P161" t="s">
        <v>472</v>
      </c>
    </row>
    <row r="162" spans="1:16" x14ac:dyDescent="0.3">
      <c r="A162" t="s">
        <v>2479</v>
      </c>
      <c r="B162" t="s">
        <v>67</v>
      </c>
      <c r="C162" s="51">
        <v>46309.833333333336</v>
      </c>
      <c r="D162" s="51">
        <v>46308.775694444441</v>
      </c>
      <c r="E162" t="s">
        <v>87</v>
      </c>
      <c r="F162" t="s">
        <v>48</v>
      </c>
      <c r="G162" t="s">
        <v>49</v>
      </c>
      <c r="H162" t="s">
        <v>68</v>
      </c>
      <c r="I162" t="s">
        <v>69</v>
      </c>
      <c r="J162" t="s">
        <v>70</v>
      </c>
      <c r="K162" t="s">
        <v>469</v>
      </c>
      <c r="L162" t="s">
        <v>470</v>
      </c>
      <c r="M162" t="s">
        <v>471</v>
      </c>
      <c r="O162" t="s">
        <v>52</v>
      </c>
      <c r="P162" t="s">
        <v>472</v>
      </c>
    </row>
    <row r="163" spans="1:16" x14ac:dyDescent="0.3">
      <c r="A163" t="s">
        <v>2480</v>
      </c>
      <c r="B163" t="s">
        <v>67</v>
      </c>
      <c r="C163" s="51">
        <v>46309.833333333336</v>
      </c>
      <c r="D163" s="51">
        <v>46308.775694444441</v>
      </c>
      <c r="E163" t="s">
        <v>87</v>
      </c>
      <c r="F163" t="s">
        <v>48</v>
      </c>
      <c r="G163" t="s">
        <v>49</v>
      </c>
      <c r="H163" t="s">
        <v>68</v>
      </c>
      <c r="I163" t="s">
        <v>69</v>
      </c>
      <c r="J163" t="s">
        <v>70</v>
      </c>
      <c r="K163" t="s">
        <v>469</v>
      </c>
      <c r="L163" t="s">
        <v>470</v>
      </c>
      <c r="M163" t="s">
        <v>471</v>
      </c>
      <c r="O163" t="s">
        <v>52</v>
      </c>
      <c r="P163" t="s">
        <v>472</v>
      </c>
    </row>
    <row r="164" spans="1:16" x14ac:dyDescent="0.3">
      <c r="A164" t="s">
        <v>2481</v>
      </c>
      <c r="B164" t="s">
        <v>67</v>
      </c>
      <c r="C164" s="51">
        <v>46309.833333333336</v>
      </c>
      <c r="D164" s="51">
        <v>46308.774305555555</v>
      </c>
      <c r="E164" t="s">
        <v>87</v>
      </c>
      <c r="F164" t="s">
        <v>48</v>
      </c>
      <c r="G164" t="s">
        <v>49</v>
      </c>
      <c r="H164" t="s">
        <v>68</v>
      </c>
      <c r="I164" t="s">
        <v>69</v>
      </c>
      <c r="J164" t="s">
        <v>70</v>
      </c>
      <c r="K164" t="s">
        <v>469</v>
      </c>
      <c r="L164" t="s">
        <v>470</v>
      </c>
      <c r="M164" t="s">
        <v>471</v>
      </c>
      <c r="N164">
        <v>15798016</v>
      </c>
      <c r="O164" t="s">
        <v>52</v>
      </c>
      <c r="P164" t="s">
        <v>472</v>
      </c>
    </row>
    <row r="165" spans="1:16" x14ac:dyDescent="0.3">
      <c r="A165" t="s">
        <v>2482</v>
      </c>
      <c r="B165" t="s">
        <v>67</v>
      </c>
      <c r="C165" s="51">
        <v>46311.938194444447</v>
      </c>
      <c r="D165" s="51">
        <v>46308.774305555555</v>
      </c>
      <c r="E165" t="s">
        <v>87</v>
      </c>
      <c r="F165" t="s">
        <v>48</v>
      </c>
      <c r="G165" t="s">
        <v>49</v>
      </c>
      <c r="H165" t="s">
        <v>68</v>
      </c>
      <c r="I165" t="s">
        <v>69</v>
      </c>
      <c r="J165" t="s">
        <v>70</v>
      </c>
      <c r="K165" t="s">
        <v>469</v>
      </c>
      <c r="L165" t="s">
        <v>470</v>
      </c>
      <c r="M165" t="s">
        <v>471</v>
      </c>
      <c r="N165">
        <v>15798018</v>
      </c>
      <c r="O165" t="s">
        <v>52</v>
      </c>
      <c r="P165" t="s">
        <v>472</v>
      </c>
    </row>
    <row r="166" spans="1:16" x14ac:dyDescent="0.3">
      <c r="A166" t="s">
        <v>2483</v>
      </c>
      <c r="B166" t="s">
        <v>67</v>
      </c>
      <c r="C166" s="51">
        <v>46309.833333333336</v>
      </c>
      <c r="D166" s="51">
        <v>46308.731944444444</v>
      </c>
      <c r="E166" t="s">
        <v>87</v>
      </c>
      <c r="F166" t="s">
        <v>48</v>
      </c>
      <c r="G166" t="s">
        <v>49</v>
      </c>
      <c r="H166" t="s">
        <v>68</v>
      </c>
      <c r="I166" t="s">
        <v>69</v>
      </c>
      <c r="J166" t="s">
        <v>70</v>
      </c>
      <c r="K166" t="s">
        <v>469</v>
      </c>
      <c r="L166" t="s">
        <v>470</v>
      </c>
      <c r="M166" t="s">
        <v>471</v>
      </c>
      <c r="O166" t="s">
        <v>52</v>
      </c>
      <c r="P166" t="s">
        <v>472</v>
      </c>
    </row>
    <row r="167" spans="1:16" x14ac:dyDescent="0.3">
      <c r="A167" t="s">
        <v>2484</v>
      </c>
      <c r="B167" t="s">
        <v>71</v>
      </c>
      <c r="C167" s="51">
        <v>46309.833333333336</v>
      </c>
      <c r="D167" s="51">
        <v>46308.695138888892</v>
      </c>
      <c r="E167" t="s">
        <v>87</v>
      </c>
      <c r="F167" t="s">
        <v>48</v>
      </c>
      <c r="G167" t="s">
        <v>49</v>
      </c>
      <c r="H167" t="s">
        <v>72</v>
      </c>
      <c r="I167" t="s">
        <v>73</v>
      </c>
      <c r="J167" t="s">
        <v>70</v>
      </c>
      <c r="K167" t="s">
        <v>469</v>
      </c>
      <c r="L167" t="s">
        <v>470</v>
      </c>
      <c r="M167" t="s">
        <v>471</v>
      </c>
      <c r="N167">
        <v>15798000</v>
      </c>
      <c r="O167" t="s">
        <v>52</v>
      </c>
      <c r="P167" t="s">
        <v>472</v>
      </c>
    </row>
    <row r="168" spans="1:16" x14ac:dyDescent="0.3">
      <c r="A168" t="s">
        <v>2485</v>
      </c>
      <c r="B168" t="s">
        <v>47</v>
      </c>
      <c r="C168" s="51">
        <v>46309.833333333336</v>
      </c>
      <c r="D168" s="51">
        <v>46308.695138888892</v>
      </c>
      <c r="E168" t="s">
        <v>87</v>
      </c>
      <c r="F168" t="s">
        <v>48</v>
      </c>
      <c r="G168" t="s">
        <v>49</v>
      </c>
      <c r="H168" t="s">
        <v>50</v>
      </c>
      <c r="I168" t="s">
        <v>66</v>
      </c>
      <c r="J168" t="s">
        <v>51</v>
      </c>
      <c r="K168" t="s">
        <v>469</v>
      </c>
      <c r="L168" t="s">
        <v>470</v>
      </c>
      <c r="M168" t="s">
        <v>471</v>
      </c>
      <c r="O168" t="s">
        <v>52</v>
      </c>
      <c r="P168" t="s">
        <v>472</v>
      </c>
    </row>
    <row r="169" spans="1:16" x14ac:dyDescent="0.3">
      <c r="A169" t="s">
        <v>2486</v>
      </c>
      <c r="B169" t="s">
        <v>67</v>
      </c>
      <c r="C169" s="51">
        <v>46309.833333333336</v>
      </c>
      <c r="D169" s="51">
        <v>46308.693055555559</v>
      </c>
      <c r="E169" t="s">
        <v>87</v>
      </c>
      <c r="F169" t="s">
        <v>48</v>
      </c>
      <c r="G169" t="s">
        <v>49</v>
      </c>
      <c r="H169" t="s">
        <v>68</v>
      </c>
      <c r="I169" t="s">
        <v>69</v>
      </c>
      <c r="J169" t="s">
        <v>70</v>
      </c>
      <c r="K169" t="s">
        <v>469</v>
      </c>
      <c r="L169" t="s">
        <v>470</v>
      </c>
      <c r="M169" t="s">
        <v>471</v>
      </c>
      <c r="O169" t="s">
        <v>52</v>
      </c>
      <c r="P169" t="s">
        <v>472</v>
      </c>
    </row>
    <row r="170" spans="1:16" x14ac:dyDescent="0.3">
      <c r="A170" t="s">
        <v>2487</v>
      </c>
      <c r="B170" t="s">
        <v>67</v>
      </c>
      <c r="C170" s="51">
        <v>46311.938194444447</v>
      </c>
      <c r="D170" s="51">
        <v>46308.643055555556</v>
      </c>
      <c r="E170" t="s">
        <v>87</v>
      </c>
      <c r="F170" t="s">
        <v>48</v>
      </c>
      <c r="G170" t="s">
        <v>49</v>
      </c>
      <c r="H170" t="s">
        <v>68</v>
      </c>
      <c r="I170" t="s">
        <v>69</v>
      </c>
      <c r="J170" t="s">
        <v>70</v>
      </c>
      <c r="K170" t="s">
        <v>469</v>
      </c>
      <c r="L170" t="s">
        <v>470</v>
      </c>
      <c r="M170" t="s">
        <v>471</v>
      </c>
      <c r="N170">
        <v>15797816</v>
      </c>
      <c r="O170" t="s">
        <v>52</v>
      </c>
      <c r="P170" t="s">
        <v>472</v>
      </c>
    </row>
    <row r="171" spans="1:16" x14ac:dyDescent="0.3">
      <c r="A171" t="s">
        <v>2488</v>
      </c>
      <c r="B171" t="s">
        <v>62</v>
      </c>
      <c r="C171" s="51">
        <v>46309.666666666664</v>
      </c>
      <c r="D171" s="51">
        <v>46308.628472222219</v>
      </c>
      <c r="E171" t="s">
        <v>87</v>
      </c>
      <c r="F171" t="s">
        <v>53</v>
      </c>
      <c r="G171" t="s">
        <v>54</v>
      </c>
      <c r="H171" t="s">
        <v>63</v>
      </c>
      <c r="I171" t="s">
        <v>64</v>
      </c>
      <c r="J171" t="s">
        <v>65</v>
      </c>
      <c r="K171" t="s">
        <v>481</v>
      </c>
      <c r="L171" t="s">
        <v>470</v>
      </c>
      <c r="M171" t="s">
        <v>485</v>
      </c>
      <c r="O171" t="s">
        <v>52</v>
      </c>
      <c r="P171" t="s">
        <v>472</v>
      </c>
    </row>
    <row r="172" spans="1:16" x14ac:dyDescent="0.3">
      <c r="A172" t="s">
        <v>2489</v>
      </c>
      <c r="B172" t="s">
        <v>74</v>
      </c>
      <c r="C172" s="51">
        <v>46311.938194444447</v>
      </c>
      <c r="D172" s="51">
        <v>46308.624305555553</v>
      </c>
      <c r="E172" t="s">
        <v>87</v>
      </c>
      <c r="F172" t="s">
        <v>48</v>
      </c>
      <c r="G172" t="s">
        <v>49</v>
      </c>
      <c r="H172" t="s">
        <v>75</v>
      </c>
      <c r="I172" t="s">
        <v>139</v>
      </c>
      <c r="J172" t="s">
        <v>70</v>
      </c>
      <c r="K172" t="s">
        <v>469</v>
      </c>
      <c r="L172" t="s">
        <v>470</v>
      </c>
      <c r="M172" t="s">
        <v>471</v>
      </c>
      <c r="N172">
        <v>15797812</v>
      </c>
      <c r="O172" t="s">
        <v>52</v>
      </c>
      <c r="P172" t="s">
        <v>472</v>
      </c>
    </row>
    <row r="173" spans="1:16" x14ac:dyDescent="0.3">
      <c r="A173" t="s">
        <v>2490</v>
      </c>
      <c r="B173" t="s">
        <v>74</v>
      </c>
      <c r="C173" s="51">
        <v>46311.938194444447</v>
      </c>
      <c r="D173" s="51">
        <v>46308.624305555553</v>
      </c>
      <c r="E173" t="s">
        <v>87</v>
      </c>
      <c r="F173" t="s">
        <v>48</v>
      </c>
      <c r="G173" t="s">
        <v>49</v>
      </c>
      <c r="H173" t="s">
        <v>75</v>
      </c>
      <c r="I173" t="s">
        <v>139</v>
      </c>
      <c r="J173" t="s">
        <v>70</v>
      </c>
      <c r="K173" t="s">
        <v>469</v>
      </c>
      <c r="L173" t="s">
        <v>470</v>
      </c>
      <c r="M173" t="s">
        <v>471</v>
      </c>
      <c r="N173">
        <v>15798008</v>
      </c>
      <c r="O173" t="s">
        <v>52</v>
      </c>
      <c r="P173" t="s">
        <v>472</v>
      </c>
    </row>
    <row r="174" spans="1:16" x14ac:dyDescent="0.3">
      <c r="A174" t="s">
        <v>2491</v>
      </c>
      <c r="B174" t="s">
        <v>47</v>
      </c>
      <c r="C174" s="51">
        <v>46309.791666666664</v>
      </c>
      <c r="D174" s="51">
        <v>46308.599305555559</v>
      </c>
      <c r="E174" t="s">
        <v>87</v>
      </c>
      <c r="F174" t="s">
        <v>48</v>
      </c>
      <c r="G174" t="s">
        <v>49</v>
      </c>
      <c r="H174" t="s">
        <v>50</v>
      </c>
      <c r="I174" t="s">
        <v>66</v>
      </c>
      <c r="J174" t="s">
        <v>51</v>
      </c>
      <c r="K174" t="s">
        <v>469</v>
      </c>
      <c r="L174" t="s">
        <v>470</v>
      </c>
      <c r="M174" t="s">
        <v>471</v>
      </c>
      <c r="N174">
        <v>15797810</v>
      </c>
      <c r="O174" t="s">
        <v>52</v>
      </c>
      <c r="P174" t="s">
        <v>472</v>
      </c>
    </row>
    <row r="175" spans="1:16" x14ac:dyDescent="0.3">
      <c r="A175" t="s">
        <v>2492</v>
      </c>
      <c r="B175" t="s">
        <v>67</v>
      </c>
      <c r="C175" s="51">
        <v>46311.938194444447</v>
      </c>
      <c r="D175" s="51">
        <v>46308.595833333333</v>
      </c>
      <c r="E175" t="s">
        <v>87</v>
      </c>
      <c r="F175" t="s">
        <v>48</v>
      </c>
      <c r="G175" t="s">
        <v>49</v>
      </c>
      <c r="H175" t="s">
        <v>68</v>
      </c>
      <c r="I175" t="s">
        <v>69</v>
      </c>
      <c r="J175" t="s">
        <v>70</v>
      </c>
      <c r="K175" t="s">
        <v>469</v>
      </c>
      <c r="L175" t="s">
        <v>470</v>
      </c>
      <c r="M175" t="s">
        <v>471</v>
      </c>
      <c r="N175">
        <v>15797808</v>
      </c>
      <c r="O175" t="s">
        <v>52</v>
      </c>
      <c r="P175" t="s">
        <v>472</v>
      </c>
    </row>
    <row r="176" spans="1:16" x14ac:dyDescent="0.3">
      <c r="A176" t="s">
        <v>2493</v>
      </c>
      <c r="B176" t="s">
        <v>74</v>
      </c>
      <c r="C176" s="51">
        <v>46311.938194444447</v>
      </c>
      <c r="D176" s="51">
        <v>46308.588194444441</v>
      </c>
      <c r="E176" t="s">
        <v>87</v>
      </c>
      <c r="F176" t="s">
        <v>48</v>
      </c>
      <c r="G176" t="s">
        <v>49</v>
      </c>
      <c r="H176" t="s">
        <v>75</v>
      </c>
      <c r="I176" t="s">
        <v>86</v>
      </c>
      <c r="J176" t="s">
        <v>70</v>
      </c>
      <c r="K176" t="s">
        <v>469</v>
      </c>
      <c r="L176" t="s">
        <v>470</v>
      </c>
      <c r="M176" t="s">
        <v>471</v>
      </c>
      <c r="N176">
        <v>15797798</v>
      </c>
      <c r="O176" t="s">
        <v>52</v>
      </c>
      <c r="P176" t="s">
        <v>472</v>
      </c>
    </row>
    <row r="177" spans="1:16" x14ac:dyDescent="0.3">
      <c r="A177" t="s">
        <v>2494</v>
      </c>
      <c r="B177" t="s">
        <v>74</v>
      </c>
      <c r="C177" s="51">
        <v>46311.938194444447</v>
      </c>
      <c r="D177" s="51">
        <v>46308.586111111108</v>
      </c>
      <c r="E177" t="s">
        <v>87</v>
      </c>
      <c r="F177" t="s">
        <v>48</v>
      </c>
      <c r="G177" t="s">
        <v>49</v>
      </c>
      <c r="H177" t="s">
        <v>75</v>
      </c>
      <c r="I177" t="s">
        <v>148</v>
      </c>
      <c r="J177" t="s">
        <v>70</v>
      </c>
      <c r="K177" t="s">
        <v>469</v>
      </c>
      <c r="L177" t="s">
        <v>470</v>
      </c>
      <c r="M177" t="s">
        <v>471</v>
      </c>
      <c r="N177">
        <v>15797802</v>
      </c>
      <c r="O177" t="s">
        <v>52</v>
      </c>
      <c r="P177" t="s">
        <v>472</v>
      </c>
    </row>
    <row r="178" spans="1:16" x14ac:dyDescent="0.3">
      <c r="A178" t="s">
        <v>2495</v>
      </c>
      <c r="B178" t="s">
        <v>74</v>
      </c>
      <c r="C178" s="51">
        <v>46309.791666666664</v>
      </c>
      <c r="D178" s="51">
        <v>46308.586111111108</v>
      </c>
      <c r="E178" t="s">
        <v>87</v>
      </c>
      <c r="F178" t="s">
        <v>48</v>
      </c>
      <c r="G178" t="s">
        <v>49</v>
      </c>
      <c r="H178" t="s">
        <v>75</v>
      </c>
      <c r="I178" t="s">
        <v>86</v>
      </c>
      <c r="J178" t="s">
        <v>70</v>
      </c>
      <c r="K178" t="s">
        <v>469</v>
      </c>
      <c r="L178" t="s">
        <v>470</v>
      </c>
      <c r="M178" t="s">
        <v>471</v>
      </c>
      <c r="N178">
        <v>15797814</v>
      </c>
      <c r="O178" t="s">
        <v>52</v>
      </c>
      <c r="P178" t="s">
        <v>472</v>
      </c>
    </row>
    <row r="179" spans="1:16" x14ac:dyDescent="0.3">
      <c r="A179" t="s">
        <v>2496</v>
      </c>
      <c r="B179" t="s">
        <v>74</v>
      </c>
      <c r="C179" s="51">
        <v>46309.833333333336</v>
      </c>
      <c r="D179" s="51">
        <v>46308.57916666667</v>
      </c>
      <c r="E179" t="s">
        <v>87</v>
      </c>
      <c r="F179" t="s">
        <v>48</v>
      </c>
      <c r="G179" t="s">
        <v>49</v>
      </c>
      <c r="H179" t="s">
        <v>75</v>
      </c>
      <c r="I179" t="s">
        <v>76</v>
      </c>
      <c r="J179" t="s">
        <v>70</v>
      </c>
      <c r="K179" t="s">
        <v>469</v>
      </c>
      <c r="L179" t="s">
        <v>470</v>
      </c>
      <c r="M179" t="s">
        <v>471</v>
      </c>
      <c r="N179">
        <v>15798006</v>
      </c>
      <c r="O179" t="s">
        <v>52</v>
      </c>
      <c r="P179" t="s">
        <v>472</v>
      </c>
    </row>
    <row r="180" spans="1:16" x14ac:dyDescent="0.3">
      <c r="A180" t="s">
        <v>2497</v>
      </c>
      <c r="B180" t="s">
        <v>120</v>
      </c>
      <c r="C180" s="51">
        <v>46311.938194444447</v>
      </c>
      <c r="D180" s="51">
        <v>46308.569444444445</v>
      </c>
      <c r="E180" t="s">
        <v>87</v>
      </c>
      <c r="F180" t="s">
        <v>48</v>
      </c>
      <c r="G180" t="s">
        <v>49</v>
      </c>
      <c r="H180" t="s">
        <v>121</v>
      </c>
      <c r="I180" t="s">
        <v>82</v>
      </c>
      <c r="J180" t="s">
        <v>51</v>
      </c>
      <c r="K180" t="s">
        <v>469</v>
      </c>
      <c r="L180" t="s">
        <v>470</v>
      </c>
      <c r="M180" t="s">
        <v>471</v>
      </c>
      <c r="N180">
        <v>15797232</v>
      </c>
      <c r="O180" t="s">
        <v>52</v>
      </c>
      <c r="P180" t="s">
        <v>472</v>
      </c>
    </row>
    <row r="181" spans="1:16" x14ac:dyDescent="0.3">
      <c r="A181" t="s">
        <v>2498</v>
      </c>
      <c r="B181" t="s">
        <v>67</v>
      </c>
      <c r="C181" s="51">
        <v>46309.791666666664</v>
      </c>
      <c r="D181" s="51">
        <v>46308.5625</v>
      </c>
      <c r="E181" t="s">
        <v>87</v>
      </c>
      <c r="F181" t="s">
        <v>48</v>
      </c>
      <c r="G181" t="s">
        <v>49</v>
      </c>
      <c r="H181" t="s">
        <v>68</v>
      </c>
      <c r="I181" t="s">
        <v>69</v>
      </c>
      <c r="J181" t="s">
        <v>70</v>
      </c>
      <c r="K181" t="s">
        <v>469</v>
      </c>
      <c r="L181" t="s">
        <v>470</v>
      </c>
      <c r="M181" t="s">
        <v>471</v>
      </c>
      <c r="N181">
        <v>15797800</v>
      </c>
      <c r="O181" t="s">
        <v>52</v>
      </c>
      <c r="P181" t="s">
        <v>472</v>
      </c>
    </row>
    <row r="182" spans="1:16" x14ac:dyDescent="0.3">
      <c r="A182" t="s">
        <v>2499</v>
      </c>
      <c r="B182" t="s">
        <v>74</v>
      </c>
      <c r="C182" s="51">
        <v>46309.75</v>
      </c>
      <c r="D182" s="51">
        <v>46308.554861111108</v>
      </c>
      <c r="E182" t="s">
        <v>87</v>
      </c>
      <c r="F182" t="s">
        <v>48</v>
      </c>
      <c r="G182" t="s">
        <v>49</v>
      </c>
      <c r="H182" t="s">
        <v>75</v>
      </c>
      <c r="I182" t="s">
        <v>86</v>
      </c>
      <c r="J182" t="s">
        <v>70</v>
      </c>
      <c r="K182" t="s">
        <v>469</v>
      </c>
      <c r="L182" t="s">
        <v>470</v>
      </c>
      <c r="M182" t="s">
        <v>471</v>
      </c>
      <c r="N182">
        <v>15797228</v>
      </c>
      <c r="O182" t="s">
        <v>52</v>
      </c>
      <c r="P182" t="s">
        <v>472</v>
      </c>
    </row>
    <row r="183" spans="1:16" x14ac:dyDescent="0.3">
      <c r="A183" t="s">
        <v>2500</v>
      </c>
      <c r="B183" t="s">
        <v>71</v>
      </c>
      <c r="C183" s="51">
        <v>46309.791666666664</v>
      </c>
      <c r="D183" s="51">
        <v>46308.554861111108</v>
      </c>
      <c r="E183" t="s">
        <v>87</v>
      </c>
      <c r="F183" t="s">
        <v>48</v>
      </c>
      <c r="G183" t="s">
        <v>49</v>
      </c>
      <c r="H183" t="s">
        <v>72</v>
      </c>
      <c r="I183" t="s">
        <v>73</v>
      </c>
      <c r="J183" t="s">
        <v>70</v>
      </c>
      <c r="K183" t="s">
        <v>469</v>
      </c>
      <c r="L183" t="s">
        <v>470</v>
      </c>
      <c r="M183" t="s">
        <v>471</v>
      </c>
      <c r="N183">
        <v>15797818</v>
      </c>
      <c r="O183" t="s">
        <v>52</v>
      </c>
      <c r="P183" t="s">
        <v>472</v>
      </c>
    </row>
    <row r="184" spans="1:16" x14ac:dyDescent="0.3">
      <c r="A184" t="s">
        <v>2501</v>
      </c>
      <c r="B184" t="s">
        <v>67</v>
      </c>
      <c r="C184" s="51">
        <v>46311.938194444447</v>
      </c>
      <c r="D184" s="51">
        <v>46308.55</v>
      </c>
      <c r="E184" t="s">
        <v>87</v>
      </c>
      <c r="F184" t="s">
        <v>48</v>
      </c>
      <c r="G184" t="s">
        <v>49</v>
      </c>
      <c r="H184" t="s">
        <v>68</v>
      </c>
      <c r="I184" t="s">
        <v>69</v>
      </c>
      <c r="J184" t="s">
        <v>70</v>
      </c>
      <c r="K184" t="s">
        <v>469</v>
      </c>
      <c r="L184" t="s">
        <v>470</v>
      </c>
      <c r="M184" t="s">
        <v>471</v>
      </c>
      <c r="N184">
        <v>15797226</v>
      </c>
      <c r="O184" t="s">
        <v>52</v>
      </c>
      <c r="P184" t="s">
        <v>472</v>
      </c>
    </row>
    <row r="185" spans="1:16" x14ac:dyDescent="0.3">
      <c r="A185" t="s">
        <v>2502</v>
      </c>
      <c r="B185" t="s">
        <v>47</v>
      </c>
      <c r="C185" s="51">
        <v>46309.791666666664</v>
      </c>
      <c r="D185" s="51">
        <v>46308.522222222222</v>
      </c>
      <c r="E185" t="s">
        <v>87</v>
      </c>
      <c r="F185" t="s">
        <v>48</v>
      </c>
      <c r="G185" t="s">
        <v>49</v>
      </c>
      <c r="H185" t="s">
        <v>50</v>
      </c>
      <c r="I185" t="s">
        <v>66</v>
      </c>
      <c r="J185" t="s">
        <v>51</v>
      </c>
      <c r="K185" t="s">
        <v>469</v>
      </c>
      <c r="L185" t="s">
        <v>470</v>
      </c>
      <c r="M185" t="s">
        <v>471</v>
      </c>
      <c r="N185">
        <v>15797792</v>
      </c>
      <c r="O185" t="s">
        <v>52</v>
      </c>
      <c r="P185" t="s">
        <v>472</v>
      </c>
    </row>
    <row r="186" spans="1:16" x14ac:dyDescent="0.3">
      <c r="A186" t="s">
        <v>2503</v>
      </c>
      <c r="B186" t="s">
        <v>113</v>
      </c>
      <c r="C186" s="51">
        <v>46309.791666666664</v>
      </c>
      <c r="D186" s="51">
        <v>46308.517361111109</v>
      </c>
      <c r="E186" t="s">
        <v>87</v>
      </c>
      <c r="F186" t="s">
        <v>48</v>
      </c>
      <c r="G186" t="s">
        <v>49</v>
      </c>
      <c r="H186" t="s">
        <v>114</v>
      </c>
      <c r="I186" t="s">
        <v>115</v>
      </c>
      <c r="J186" t="s">
        <v>116</v>
      </c>
      <c r="K186" t="s">
        <v>469</v>
      </c>
      <c r="L186" t="s">
        <v>470</v>
      </c>
      <c r="M186" t="s">
        <v>471</v>
      </c>
      <c r="N186">
        <v>15797804</v>
      </c>
      <c r="O186" t="s">
        <v>52</v>
      </c>
      <c r="P186" t="s">
        <v>472</v>
      </c>
    </row>
    <row r="187" spans="1:16" x14ac:dyDescent="0.3">
      <c r="A187" t="s">
        <v>2504</v>
      </c>
      <c r="B187" t="s">
        <v>113</v>
      </c>
      <c r="C187" s="51">
        <v>46311.938194444447</v>
      </c>
      <c r="D187" s="51">
        <v>46308.517361111109</v>
      </c>
      <c r="E187" t="s">
        <v>87</v>
      </c>
      <c r="F187" t="s">
        <v>48</v>
      </c>
      <c r="G187" t="s">
        <v>49</v>
      </c>
      <c r="H187" t="s">
        <v>114</v>
      </c>
      <c r="I187" t="s">
        <v>115</v>
      </c>
      <c r="J187" t="s">
        <v>116</v>
      </c>
      <c r="K187" t="s">
        <v>469</v>
      </c>
      <c r="L187" t="s">
        <v>470</v>
      </c>
      <c r="M187" t="s">
        <v>471</v>
      </c>
      <c r="N187">
        <v>15797212</v>
      </c>
      <c r="O187" t="s">
        <v>52</v>
      </c>
      <c r="P187" t="s">
        <v>472</v>
      </c>
    </row>
    <row r="188" spans="1:16" x14ac:dyDescent="0.3">
      <c r="A188" t="s">
        <v>2505</v>
      </c>
      <c r="B188" t="s">
        <v>67</v>
      </c>
      <c r="C188" s="51">
        <v>46311.938194444447</v>
      </c>
      <c r="D188" s="51">
        <v>46308.505555555559</v>
      </c>
      <c r="E188" t="s">
        <v>87</v>
      </c>
      <c r="F188" t="s">
        <v>48</v>
      </c>
      <c r="G188" t="s">
        <v>49</v>
      </c>
      <c r="H188" t="s">
        <v>68</v>
      </c>
      <c r="I188" t="s">
        <v>69</v>
      </c>
      <c r="J188" t="s">
        <v>70</v>
      </c>
      <c r="K188" t="s">
        <v>469</v>
      </c>
      <c r="L188" t="s">
        <v>470</v>
      </c>
      <c r="M188" t="s">
        <v>471</v>
      </c>
      <c r="N188">
        <v>15797208</v>
      </c>
      <c r="O188" t="s">
        <v>52</v>
      </c>
      <c r="P188" t="s">
        <v>472</v>
      </c>
    </row>
    <row r="189" spans="1:16" x14ac:dyDescent="0.3">
      <c r="A189" t="s">
        <v>2506</v>
      </c>
      <c r="B189" t="s">
        <v>124</v>
      </c>
      <c r="C189" s="51">
        <v>46308.50277777778</v>
      </c>
      <c r="D189" s="51">
        <v>46308.50277777778</v>
      </c>
      <c r="E189" t="s">
        <v>479</v>
      </c>
      <c r="F189" t="s">
        <v>77</v>
      </c>
      <c r="G189" t="s">
        <v>107</v>
      </c>
      <c r="H189" t="s">
        <v>125</v>
      </c>
      <c r="I189" t="s">
        <v>122</v>
      </c>
      <c r="J189" t="s">
        <v>126</v>
      </c>
      <c r="K189" t="s">
        <v>90</v>
      </c>
      <c r="L189" t="s">
        <v>473</v>
      </c>
      <c r="M189">
        <v>11111</v>
      </c>
      <c r="O189" t="s">
        <v>129</v>
      </c>
      <c r="P189" t="s">
        <v>474</v>
      </c>
    </row>
    <row r="190" spans="1:16" x14ac:dyDescent="0.3">
      <c r="A190" t="s">
        <v>2507</v>
      </c>
      <c r="B190" t="s">
        <v>67</v>
      </c>
      <c r="C190" s="51">
        <v>46309.75</v>
      </c>
      <c r="D190" s="51">
        <v>46308.495138888888</v>
      </c>
      <c r="E190" t="s">
        <v>87</v>
      </c>
      <c r="F190" t="s">
        <v>48</v>
      </c>
      <c r="G190" t="s">
        <v>49</v>
      </c>
      <c r="H190" t="s">
        <v>68</v>
      </c>
      <c r="I190" t="s">
        <v>69</v>
      </c>
      <c r="J190" t="s">
        <v>70</v>
      </c>
      <c r="K190" t="s">
        <v>469</v>
      </c>
      <c r="L190" t="s">
        <v>470</v>
      </c>
      <c r="M190" t="s">
        <v>471</v>
      </c>
      <c r="N190">
        <v>15797204</v>
      </c>
      <c r="O190" t="s">
        <v>52</v>
      </c>
      <c r="P190" t="s">
        <v>472</v>
      </c>
    </row>
    <row r="191" spans="1:16" x14ac:dyDescent="0.3">
      <c r="A191" t="s">
        <v>2508</v>
      </c>
      <c r="B191" t="s">
        <v>124</v>
      </c>
      <c r="C191" s="51">
        <v>46309.5</v>
      </c>
      <c r="D191" s="51">
        <v>46308.493055555555</v>
      </c>
      <c r="E191" t="s">
        <v>87</v>
      </c>
      <c r="F191" t="s">
        <v>77</v>
      </c>
      <c r="G191" t="s">
        <v>107</v>
      </c>
      <c r="H191" t="s">
        <v>125</v>
      </c>
      <c r="I191" t="s">
        <v>122</v>
      </c>
      <c r="J191" t="s">
        <v>126</v>
      </c>
      <c r="K191" t="s">
        <v>475</v>
      </c>
      <c r="L191" t="s">
        <v>473</v>
      </c>
      <c r="M191">
        <v>111111</v>
      </c>
      <c r="O191" t="s">
        <v>56</v>
      </c>
      <c r="P191" t="s">
        <v>474</v>
      </c>
    </row>
    <row r="192" spans="1:16" x14ac:dyDescent="0.3">
      <c r="A192" t="s">
        <v>2509</v>
      </c>
      <c r="B192" t="s">
        <v>74</v>
      </c>
      <c r="C192" s="51">
        <v>46309.75</v>
      </c>
      <c r="D192" s="51">
        <v>46308.489583333336</v>
      </c>
      <c r="E192" t="s">
        <v>87</v>
      </c>
      <c r="F192" t="s">
        <v>48</v>
      </c>
      <c r="G192" t="s">
        <v>49</v>
      </c>
      <c r="H192" t="s">
        <v>75</v>
      </c>
      <c r="I192" t="s">
        <v>76</v>
      </c>
      <c r="J192" t="s">
        <v>70</v>
      </c>
      <c r="K192" t="s">
        <v>469</v>
      </c>
      <c r="L192" t="s">
        <v>470</v>
      </c>
      <c r="M192" t="s">
        <v>471</v>
      </c>
      <c r="N192">
        <v>15797214</v>
      </c>
      <c r="O192" t="s">
        <v>52</v>
      </c>
      <c r="P192" t="s">
        <v>472</v>
      </c>
    </row>
    <row r="193" spans="1:16" x14ac:dyDescent="0.3">
      <c r="A193" t="s">
        <v>2510</v>
      </c>
      <c r="B193" t="s">
        <v>67</v>
      </c>
      <c r="C193" s="51">
        <v>46311.938194444447</v>
      </c>
      <c r="D193" s="51">
        <v>46308.488888888889</v>
      </c>
      <c r="E193" t="s">
        <v>87</v>
      </c>
      <c r="F193" t="s">
        <v>48</v>
      </c>
      <c r="G193" t="s">
        <v>49</v>
      </c>
      <c r="H193" t="s">
        <v>68</v>
      </c>
      <c r="I193" t="s">
        <v>69</v>
      </c>
      <c r="J193" t="s">
        <v>70</v>
      </c>
      <c r="K193" t="s">
        <v>469</v>
      </c>
      <c r="L193" t="s">
        <v>470</v>
      </c>
      <c r="M193" t="s">
        <v>471</v>
      </c>
      <c r="N193">
        <v>15797218</v>
      </c>
      <c r="O193" t="s">
        <v>52</v>
      </c>
      <c r="P193" t="s">
        <v>472</v>
      </c>
    </row>
    <row r="194" spans="1:16" x14ac:dyDescent="0.3">
      <c r="A194" t="s">
        <v>2511</v>
      </c>
      <c r="B194" t="s">
        <v>74</v>
      </c>
      <c r="C194" s="51">
        <v>46311.938194444447</v>
      </c>
      <c r="D194" s="51">
        <v>46308.481249999997</v>
      </c>
      <c r="E194" t="s">
        <v>87</v>
      </c>
      <c r="F194" t="s">
        <v>48</v>
      </c>
      <c r="G194" t="s">
        <v>49</v>
      </c>
      <c r="H194" t="s">
        <v>75</v>
      </c>
      <c r="I194" t="s">
        <v>86</v>
      </c>
      <c r="J194" t="s">
        <v>70</v>
      </c>
      <c r="K194" t="s">
        <v>469</v>
      </c>
      <c r="L194" t="s">
        <v>470</v>
      </c>
      <c r="M194" t="s">
        <v>471</v>
      </c>
      <c r="N194">
        <v>15797202</v>
      </c>
      <c r="O194" t="s">
        <v>52</v>
      </c>
      <c r="P194" t="s">
        <v>472</v>
      </c>
    </row>
    <row r="195" spans="1:16" x14ac:dyDescent="0.3">
      <c r="A195" t="s">
        <v>2512</v>
      </c>
      <c r="B195" t="s">
        <v>67</v>
      </c>
      <c r="C195" s="51">
        <v>46311.938194444447</v>
      </c>
      <c r="D195" s="51">
        <v>46308.481249999997</v>
      </c>
      <c r="E195" t="s">
        <v>87</v>
      </c>
      <c r="F195" t="s">
        <v>48</v>
      </c>
      <c r="G195" t="s">
        <v>49</v>
      </c>
      <c r="H195" t="s">
        <v>68</v>
      </c>
      <c r="I195" t="s">
        <v>69</v>
      </c>
      <c r="J195" t="s">
        <v>70</v>
      </c>
      <c r="K195" t="s">
        <v>469</v>
      </c>
      <c r="L195" t="s">
        <v>470</v>
      </c>
      <c r="M195" t="s">
        <v>471</v>
      </c>
      <c r="N195">
        <v>15797192</v>
      </c>
      <c r="O195" t="s">
        <v>52</v>
      </c>
      <c r="P195" t="s">
        <v>472</v>
      </c>
    </row>
    <row r="196" spans="1:16" x14ac:dyDescent="0.3">
      <c r="A196" t="s">
        <v>2513</v>
      </c>
      <c r="B196" t="s">
        <v>47</v>
      </c>
      <c r="C196" s="51">
        <v>46311.938194444447</v>
      </c>
      <c r="D196" s="51">
        <v>46308.456250000003</v>
      </c>
      <c r="E196" t="s">
        <v>87</v>
      </c>
      <c r="F196" t="s">
        <v>48</v>
      </c>
      <c r="G196" t="s">
        <v>49</v>
      </c>
      <c r="H196" t="s">
        <v>50</v>
      </c>
      <c r="I196" t="s">
        <v>66</v>
      </c>
      <c r="J196" t="s">
        <v>51</v>
      </c>
      <c r="K196" t="s">
        <v>469</v>
      </c>
      <c r="L196" t="s">
        <v>470</v>
      </c>
      <c r="M196" t="s">
        <v>471</v>
      </c>
      <c r="N196">
        <v>15797224</v>
      </c>
      <c r="O196" t="s">
        <v>52</v>
      </c>
      <c r="P196" t="s">
        <v>472</v>
      </c>
    </row>
    <row r="197" spans="1:16" x14ac:dyDescent="0.3">
      <c r="A197" t="s">
        <v>2514</v>
      </c>
      <c r="B197" t="s">
        <v>47</v>
      </c>
      <c r="C197" s="51">
        <v>46311.938194444447</v>
      </c>
      <c r="D197" s="51">
        <v>46308.448611111111</v>
      </c>
      <c r="E197" t="s">
        <v>87</v>
      </c>
      <c r="F197" t="s">
        <v>48</v>
      </c>
      <c r="G197" t="s">
        <v>49</v>
      </c>
      <c r="H197" t="s">
        <v>50</v>
      </c>
      <c r="I197" t="s">
        <v>66</v>
      </c>
      <c r="J197" t="s">
        <v>51</v>
      </c>
      <c r="K197" t="s">
        <v>469</v>
      </c>
      <c r="L197" t="s">
        <v>470</v>
      </c>
      <c r="M197" t="s">
        <v>471</v>
      </c>
      <c r="N197">
        <v>15798004</v>
      </c>
      <c r="O197" t="s">
        <v>52</v>
      </c>
      <c r="P197" t="s">
        <v>472</v>
      </c>
    </row>
    <row r="198" spans="1:16" x14ac:dyDescent="0.3">
      <c r="A198" t="s">
        <v>2515</v>
      </c>
      <c r="B198" t="s">
        <v>67</v>
      </c>
      <c r="C198" s="51">
        <v>46309.75</v>
      </c>
      <c r="D198" s="51">
        <v>46308.445138888892</v>
      </c>
      <c r="E198" t="s">
        <v>87</v>
      </c>
      <c r="F198" t="s">
        <v>48</v>
      </c>
      <c r="G198" t="s">
        <v>49</v>
      </c>
      <c r="H198" t="s">
        <v>68</v>
      </c>
      <c r="I198" t="s">
        <v>69</v>
      </c>
      <c r="J198" t="s">
        <v>70</v>
      </c>
      <c r="K198" t="s">
        <v>469</v>
      </c>
      <c r="L198" t="s">
        <v>470</v>
      </c>
      <c r="M198" t="s">
        <v>471</v>
      </c>
      <c r="N198">
        <v>15797198</v>
      </c>
      <c r="O198" t="s">
        <v>52</v>
      </c>
      <c r="P198" t="s">
        <v>472</v>
      </c>
    </row>
    <row r="199" spans="1:16" x14ac:dyDescent="0.3">
      <c r="A199" t="s">
        <v>2516</v>
      </c>
      <c r="B199" t="s">
        <v>67</v>
      </c>
      <c r="C199" s="51">
        <v>46309.75</v>
      </c>
      <c r="D199" s="51">
        <v>46308.441666666666</v>
      </c>
      <c r="E199" t="s">
        <v>87</v>
      </c>
      <c r="F199" t="s">
        <v>48</v>
      </c>
      <c r="G199" t="s">
        <v>49</v>
      </c>
      <c r="H199" t="s">
        <v>68</v>
      </c>
      <c r="I199" t="s">
        <v>69</v>
      </c>
      <c r="J199" t="s">
        <v>70</v>
      </c>
      <c r="K199" t="s">
        <v>469</v>
      </c>
      <c r="L199" t="s">
        <v>470</v>
      </c>
      <c r="M199" t="s">
        <v>471</v>
      </c>
      <c r="N199">
        <v>15797200</v>
      </c>
      <c r="O199" t="s">
        <v>52</v>
      </c>
      <c r="P199" t="s">
        <v>472</v>
      </c>
    </row>
    <row r="200" spans="1:16" x14ac:dyDescent="0.3">
      <c r="A200" t="s">
        <v>2517</v>
      </c>
      <c r="B200" t="s">
        <v>67</v>
      </c>
      <c r="C200" s="51">
        <v>46311.938194444447</v>
      </c>
      <c r="D200" s="51">
        <v>46308.427083333336</v>
      </c>
      <c r="E200" t="s">
        <v>87</v>
      </c>
      <c r="F200" t="s">
        <v>48</v>
      </c>
      <c r="G200" t="s">
        <v>49</v>
      </c>
      <c r="H200" t="s">
        <v>68</v>
      </c>
      <c r="I200" t="s">
        <v>69</v>
      </c>
      <c r="J200" t="s">
        <v>70</v>
      </c>
      <c r="K200" t="s">
        <v>469</v>
      </c>
      <c r="L200" t="s">
        <v>470</v>
      </c>
      <c r="M200" t="s">
        <v>471</v>
      </c>
      <c r="N200">
        <v>15798002</v>
      </c>
      <c r="O200" t="s">
        <v>52</v>
      </c>
      <c r="P200" t="s">
        <v>472</v>
      </c>
    </row>
    <row r="201" spans="1:16" x14ac:dyDescent="0.3">
      <c r="A201" t="s">
        <v>2518</v>
      </c>
      <c r="B201" t="s">
        <v>47</v>
      </c>
      <c r="C201" s="51">
        <v>46309.833333333336</v>
      </c>
      <c r="D201" s="51">
        <v>46308.427083333336</v>
      </c>
      <c r="E201" t="s">
        <v>87</v>
      </c>
      <c r="F201" t="s">
        <v>48</v>
      </c>
      <c r="G201" t="s">
        <v>49</v>
      </c>
      <c r="H201" t="s">
        <v>50</v>
      </c>
      <c r="I201" t="s">
        <v>66</v>
      </c>
      <c r="J201" t="s">
        <v>51</v>
      </c>
      <c r="K201" t="s">
        <v>469</v>
      </c>
      <c r="L201" t="s">
        <v>470</v>
      </c>
      <c r="M201" t="s">
        <v>471</v>
      </c>
      <c r="O201" t="s">
        <v>52</v>
      </c>
      <c r="P201" t="s">
        <v>472</v>
      </c>
    </row>
    <row r="202" spans="1:16" x14ac:dyDescent="0.3">
      <c r="A202" t="s">
        <v>2519</v>
      </c>
      <c r="B202" t="s">
        <v>74</v>
      </c>
      <c r="C202" s="51">
        <v>46309.833333333336</v>
      </c>
      <c r="D202" s="51">
        <v>46308.424305555556</v>
      </c>
      <c r="E202" t="s">
        <v>87</v>
      </c>
      <c r="F202" t="s">
        <v>48</v>
      </c>
      <c r="G202" t="s">
        <v>49</v>
      </c>
      <c r="H202" t="s">
        <v>75</v>
      </c>
      <c r="I202" t="s">
        <v>76</v>
      </c>
      <c r="J202" t="s">
        <v>70</v>
      </c>
      <c r="K202" t="s">
        <v>469</v>
      </c>
      <c r="L202" t="s">
        <v>470</v>
      </c>
      <c r="M202" t="s">
        <v>471</v>
      </c>
      <c r="N202">
        <v>15798010</v>
      </c>
      <c r="O202" t="s">
        <v>52</v>
      </c>
      <c r="P202" t="s">
        <v>472</v>
      </c>
    </row>
    <row r="203" spans="1:16" x14ac:dyDescent="0.3">
      <c r="A203" t="s">
        <v>2520</v>
      </c>
      <c r="B203" t="s">
        <v>74</v>
      </c>
      <c r="C203" s="51">
        <v>46311.938194444447</v>
      </c>
      <c r="D203" s="51">
        <v>46308.423611111109</v>
      </c>
      <c r="E203" t="s">
        <v>87</v>
      </c>
      <c r="F203" t="s">
        <v>48</v>
      </c>
      <c r="G203" t="s">
        <v>49</v>
      </c>
      <c r="H203" t="s">
        <v>75</v>
      </c>
      <c r="I203" t="s">
        <v>148</v>
      </c>
      <c r="J203" t="s">
        <v>70</v>
      </c>
      <c r="K203" t="s">
        <v>469</v>
      </c>
      <c r="L203" t="s">
        <v>470</v>
      </c>
      <c r="M203" t="s">
        <v>471</v>
      </c>
      <c r="N203">
        <v>15798012</v>
      </c>
      <c r="O203" t="s">
        <v>52</v>
      </c>
      <c r="P203" t="s">
        <v>472</v>
      </c>
    </row>
    <row r="204" spans="1:16" x14ac:dyDescent="0.3">
      <c r="A204" t="s">
        <v>2521</v>
      </c>
      <c r="B204" t="s">
        <v>137</v>
      </c>
      <c r="C204" s="51">
        <v>46310.522222222222</v>
      </c>
      <c r="D204" s="51">
        <v>46308.375</v>
      </c>
      <c r="E204" t="s">
        <v>87</v>
      </c>
      <c r="F204" t="s">
        <v>53</v>
      </c>
      <c r="G204" t="s">
        <v>54</v>
      </c>
      <c r="H204" t="s">
        <v>138</v>
      </c>
      <c r="I204" t="s">
        <v>2522</v>
      </c>
      <c r="J204" t="s">
        <v>55</v>
      </c>
      <c r="K204" t="s">
        <v>481</v>
      </c>
      <c r="L204" t="s">
        <v>473</v>
      </c>
      <c r="M204">
        <v>1</v>
      </c>
      <c r="O204" t="s">
        <v>129</v>
      </c>
      <c r="P204" t="s">
        <v>474</v>
      </c>
    </row>
    <row r="205" spans="1:16" x14ac:dyDescent="0.3">
      <c r="A205" t="s">
        <v>2523</v>
      </c>
      <c r="B205" t="s">
        <v>74</v>
      </c>
      <c r="C205" s="51">
        <v>46309.938194444447</v>
      </c>
      <c r="D205" s="51">
        <v>46308.370138888888</v>
      </c>
      <c r="E205" t="s">
        <v>87</v>
      </c>
      <c r="F205" t="s">
        <v>48</v>
      </c>
      <c r="G205" t="s">
        <v>49</v>
      </c>
      <c r="H205" t="s">
        <v>75</v>
      </c>
      <c r="I205" t="s">
        <v>86</v>
      </c>
      <c r="J205" t="s">
        <v>70</v>
      </c>
      <c r="K205" t="s">
        <v>469</v>
      </c>
      <c r="L205" t="s">
        <v>470</v>
      </c>
      <c r="M205" t="s">
        <v>471</v>
      </c>
      <c r="N205">
        <v>15793808</v>
      </c>
      <c r="O205" t="s">
        <v>52</v>
      </c>
      <c r="P205" t="s">
        <v>472</v>
      </c>
    </row>
    <row r="206" spans="1:16" x14ac:dyDescent="0.3">
      <c r="A206" t="s">
        <v>2524</v>
      </c>
      <c r="B206" t="s">
        <v>74</v>
      </c>
      <c r="C206" s="51">
        <v>46309.938194444447</v>
      </c>
      <c r="D206" s="51">
        <v>46308.356944444444</v>
      </c>
      <c r="E206" t="s">
        <v>87</v>
      </c>
      <c r="F206" t="s">
        <v>48</v>
      </c>
      <c r="G206" t="s">
        <v>49</v>
      </c>
      <c r="H206" t="s">
        <v>75</v>
      </c>
      <c r="I206" t="s">
        <v>148</v>
      </c>
      <c r="J206" t="s">
        <v>70</v>
      </c>
      <c r="K206" t="s">
        <v>469</v>
      </c>
      <c r="L206" t="s">
        <v>470</v>
      </c>
      <c r="M206" t="s">
        <v>471</v>
      </c>
      <c r="N206">
        <v>15793812</v>
      </c>
      <c r="O206" t="s">
        <v>52</v>
      </c>
      <c r="P206" t="s">
        <v>472</v>
      </c>
    </row>
    <row r="207" spans="1:16" x14ac:dyDescent="0.3">
      <c r="A207" t="s">
        <v>2525</v>
      </c>
      <c r="B207" t="s">
        <v>124</v>
      </c>
      <c r="C207" s="51">
        <v>46309.375</v>
      </c>
      <c r="D207" s="51">
        <v>46308.350694444445</v>
      </c>
      <c r="E207" t="s">
        <v>87</v>
      </c>
      <c r="F207" t="s">
        <v>77</v>
      </c>
      <c r="G207" t="s">
        <v>107</v>
      </c>
      <c r="H207" t="s">
        <v>125</v>
      </c>
      <c r="I207" t="s">
        <v>122</v>
      </c>
      <c r="J207" t="s">
        <v>126</v>
      </c>
      <c r="K207" t="s">
        <v>475</v>
      </c>
      <c r="L207" t="s">
        <v>473</v>
      </c>
      <c r="M207">
        <v>0</v>
      </c>
      <c r="O207" t="s">
        <v>56</v>
      </c>
      <c r="P207" t="s">
        <v>474</v>
      </c>
    </row>
    <row r="208" spans="1:16" x14ac:dyDescent="0.3">
      <c r="A208" t="s">
        <v>2526</v>
      </c>
      <c r="B208" t="s">
        <v>71</v>
      </c>
      <c r="C208" s="51">
        <v>46309.958333333336</v>
      </c>
      <c r="D208" s="51">
        <v>46308.252083333333</v>
      </c>
      <c r="E208" t="s">
        <v>87</v>
      </c>
      <c r="F208" t="s">
        <v>48</v>
      </c>
      <c r="G208" t="s">
        <v>49</v>
      </c>
      <c r="H208" t="s">
        <v>72</v>
      </c>
      <c r="I208" t="s">
        <v>73</v>
      </c>
      <c r="J208" t="s">
        <v>70</v>
      </c>
      <c r="K208" t="s">
        <v>469</v>
      </c>
      <c r="L208" t="s">
        <v>470</v>
      </c>
      <c r="M208" t="s">
        <v>471</v>
      </c>
      <c r="N208">
        <v>15793822</v>
      </c>
      <c r="O208" t="s">
        <v>52</v>
      </c>
      <c r="P208" t="s">
        <v>472</v>
      </c>
    </row>
    <row r="209" spans="1:16" x14ac:dyDescent="0.3">
      <c r="A209" t="s">
        <v>2527</v>
      </c>
      <c r="B209" t="s">
        <v>47</v>
      </c>
      <c r="C209" s="51">
        <v>46310.938194444447</v>
      </c>
      <c r="D209" s="51">
        <v>46307.883333333331</v>
      </c>
      <c r="E209" t="s">
        <v>87</v>
      </c>
      <c r="F209" t="s">
        <v>48</v>
      </c>
      <c r="G209" t="s">
        <v>49</v>
      </c>
      <c r="H209" t="s">
        <v>50</v>
      </c>
      <c r="I209" t="s">
        <v>66</v>
      </c>
      <c r="J209" t="s">
        <v>51</v>
      </c>
      <c r="K209" t="s">
        <v>469</v>
      </c>
      <c r="L209" t="s">
        <v>470</v>
      </c>
      <c r="M209" t="s">
        <v>471</v>
      </c>
      <c r="N209">
        <v>15793826</v>
      </c>
      <c r="O209" t="s">
        <v>52</v>
      </c>
      <c r="P209" t="s">
        <v>472</v>
      </c>
    </row>
    <row r="210" spans="1:16" x14ac:dyDescent="0.3">
      <c r="A210" t="s">
        <v>2528</v>
      </c>
      <c r="B210" t="s">
        <v>74</v>
      </c>
      <c r="C210" s="51">
        <v>46309.938194444447</v>
      </c>
      <c r="D210" s="51">
        <v>46307.828472222223</v>
      </c>
      <c r="E210" t="s">
        <v>87</v>
      </c>
      <c r="F210" t="s">
        <v>48</v>
      </c>
      <c r="G210" t="s">
        <v>49</v>
      </c>
      <c r="H210" t="s">
        <v>75</v>
      </c>
      <c r="I210" t="s">
        <v>76</v>
      </c>
      <c r="J210" t="s">
        <v>70</v>
      </c>
      <c r="K210" t="s">
        <v>469</v>
      </c>
      <c r="L210" t="s">
        <v>470</v>
      </c>
      <c r="M210" t="s">
        <v>471</v>
      </c>
      <c r="N210">
        <v>15793830</v>
      </c>
      <c r="O210" t="s">
        <v>52</v>
      </c>
      <c r="P210" t="s">
        <v>472</v>
      </c>
    </row>
    <row r="211" spans="1:16" x14ac:dyDescent="0.3">
      <c r="A211" t="s">
        <v>2529</v>
      </c>
      <c r="B211" t="s">
        <v>120</v>
      </c>
      <c r="C211" s="51">
        <v>46310.938194444447</v>
      </c>
      <c r="D211" s="51">
        <v>46307.821527777778</v>
      </c>
      <c r="E211" t="s">
        <v>87</v>
      </c>
      <c r="F211" t="s">
        <v>48</v>
      </c>
      <c r="G211" t="s">
        <v>49</v>
      </c>
      <c r="H211" t="s">
        <v>121</v>
      </c>
      <c r="I211" t="s">
        <v>82</v>
      </c>
      <c r="J211" t="s">
        <v>51</v>
      </c>
      <c r="K211" t="s">
        <v>469</v>
      </c>
      <c r="L211" t="s">
        <v>470</v>
      </c>
      <c r="M211" t="s">
        <v>471</v>
      </c>
      <c r="N211">
        <v>15793836</v>
      </c>
      <c r="O211" t="s">
        <v>52</v>
      </c>
      <c r="P211" t="s">
        <v>472</v>
      </c>
    </row>
    <row r="212" spans="1:16" x14ac:dyDescent="0.3">
      <c r="A212" t="s">
        <v>2530</v>
      </c>
      <c r="B212" t="s">
        <v>74</v>
      </c>
      <c r="C212" s="51">
        <v>46309.958333333336</v>
      </c>
      <c r="D212" s="51">
        <v>46307.801388888889</v>
      </c>
      <c r="E212" t="s">
        <v>87</v>
      </c>
      <c r="F212" t="s">
        <v>48</v>
      </c>
      <c r="G212" t="s">
        <v>49</v>
      </c>
      <c r="H212" t="s">
        <v>75</v>
      </c>
      <c r="I212" t="s">
        <v>86</v>
      </c>
      <c r="J212" t="s">
        <v>70</v>
      </c>
      <c r="K212" t="s">
        <v>469</v>
      </c>
      <c r="L212" t="s">
        <v>470</v>
      </c>
      <c r="M212" t="s">
        <v>471</v>
      </c>
      <c r="N212">
        <v>15793838</v>
      </c>
      <c r="O212" t="s">
        <v>52</v>
      </c>
      <c r="P212" t="s">
        <v>472</v>
      </c>
    </row>
    <row r="213" spans="1:16" x14ac:dyDescent="0.3">
      <c r="A213" t="s">
        <v>2531</v>
      </c>
      <c r="B213" t="s">
        <v>74</v>
      </c>
      <c r="C213" s="51">
        <v>46309.938194444447</v>
      </c>
      <c r="D213" s="51">
        <v>46307.736805555556</v>
      </c>
      <c r="E213" t="s">
        <v>87</v>
      </c>
      <c r="F213" t="s">
        <v>48</v>
      </c>
      <c r="G213" t="s">
        <v>49</v>
      </c>
      <c r="H213" t="s">
        <v>75</v>
      </c>
      <c r="I213" t="s">
        <v>148</v>
      </c>
      <c r="J213" t="s">
        <v>70</v>
      </c>
      <c r="K213" t="s">
        <v>469</v>
      </c>
      <c r="L213" t="s">
        <v>470</v>
      </c>
      <c r="M213" t="s">
        <v>485</v>
      </c>
      <c r="N213">
        <v>15793842</v>
      </c>
      <c r="O213" t="s">
        <v>52</v>
      </c>
      <c r="P213" t="s">
        <v>472</v>
      </c>
    </row>
    <row r="214" spans="1:16" x14ac:dyDescent="0.3">
      <c r="A214" t="s">
        <v>2532</v>
      </c>
      <c r="B214" t="s">
        <v>113</v>
      </c>
      <c r="C214" s="51">
        <v>46309.458333333336</v>
      </c>
      <c r="D214" s="51">
        <v>46307.722916666666</v>
      </c>
      <c r="E214" t="s">
        <v>87</v>
      </c>
      <c r="F214" t="s">
        <v>48</v>
      </c>
      <c r="G214" t="s">
        <v>49</v>
      </c>
      <c r="H214" t="s">
        <v>114</v>
      </c>
      <c r="I214" t="s">
        <v>115</v>
      </c>
      <c r="J214" t="s">
        <v>116</v>
      </c>
      <c r="K214" t="s">
        <v>469</v>
      </c>
      <c r="L214" t="s">
        <v>470</v>
      </c>
      <c r="M214" t="s">
        <v>485</v>
      </c>
      <c r="O214" t="s">
        <v>52</v>
      </c>
      <c r="P214" t="s">
        <v>472</v>
      </c>
    </row>
    <row r="215" spans="1:16" x14ac:dyDescent="0.3">
      <c r="A215" t="s">
        <v>2533</v>
      </c>
      <c r="B215" t="s">
        <v>67</v>
      </c>
      <c r="C215" s="51">
        <v>46310.938194444447</v>
      </c>
      <c r="D215" s="51">
        <v>46307.718055555553</v>
      </c>
      <c r="E215" t="s">
        <v>87</v>
      </c>
      <c r="F215" t="s">
        <v>48</v>
      </c>
      <c r="G215" t="s">
        <v>49</v>
      </c>
      <c r="H215" t="s">
        <v>68</v>
      </c>
      <c r="I215" t="s">
        <v>69</v>
      </c>
      <c r="J215" t="s">
        <v>70</v>
      </c>
      <c r="K215" t="s">
        <v>469</v>
      </c>
      <c r="L215" t="s">
        <v>470</v>
      </c>
      <c r="M215" t="s">
        <v>471</v>
      </c>
      <c r="N215">
        <v>15793848</v>
      </c>
      <c r="O215" t="s">
        <v>52</v>
      </c>
      <c r="P215" t="s">
        <v>472</v>
      </c>
    </row>
    <row r="216" spans="1:16" x14ac:dyDescent="0.3">
      <c r="A216" t="s">
        <v>2534</v>
      </c>
      <c r="B216" t="s">
        <v>67</v>
      </c>
      <c r="C216" s="51">
        <v>46310.938194444447</v>
      </c>
      <c r="D216" s="51">
        <v>46307.718055555553</v>
      </c>
      <c r="E216" t="s">
        <v>87</v>
      </c>
      <c r="F216" t="s">
        <v>48</v>
      </c>
      <c r="G216" t="s">
        <v>49</v>
      </c>
      <c r="H216" t="s">
        <v>68</v>
      </c>
      <c r="I216" t="s">
        <v>69</v>
      </c>
      <c r="J216" t="s">
        <v>70</v>
      </c>
      <c r="K216" t="s">
        <v>469</v>
      </c>
      <c r="L216" t="s">
        <v>470</v>
      </c>
      <c r="M216" t="s">
        <v>471</v>
      </c>
      <c r="N216">
        <v>15793856</v>
      </c>
      <c r="O216" t="s">
        <v>52</v>
      </c>
      <c r="P216" t="s">
        <v>472</v>
      </c>
    </row>
    <row r="217" spans="1:16" x14ac:dyDescent="0.3">
      <c r="A217" t="s">
        <v>2535</v>
      </c>
      <c r="B217" t="s">
        <v>120</v>
      </c>
      <c r="C217" s="51">
        <v>46309.458333333336</v>
      </c>
      <c r="D217" s="51">
        <v>46307.704861111109</v>
      </c>
      <c r="E217" t="s">
        <v>87</v>
      </c>
      <c r="F217" t="s">
        <v>48</v>
      </c>
      <c r="G217" t="s">
        <v>49</v>
      </c>
      <c r="H217" t="s">
        <v>121</v>
      </c>
      <c r="I217" t="s">
        <v>82</v>
      </c>
      <c r="J217" t="s">
        <v>51</v>
      </c>
      <c r="K217" t="s">
        <v>469</v>
      </c>
      <c r="L217" t="s">
        <v>470</v>
      </c>
      <c r="M217" t="s">
        <v>471</v>
      </c>
      <c r="O217" t="s">
        <v>52</v>
      </c>
      <c r="P217" t="s">
        <v>472</v>
      </c>
    </row>
    <row r="218" spans="1:16" x14ac:dyDescent="0.3">
      <c r="A218" t="s">
        <v>2536</v>
      </c>
      <c r="B218" t="s">
        <v>67</v>
      </c>
      <c r="C218" s="51">
        <v>46309.938194444447</v>
      </c>
      <c r="D218" s="51">
        <v>46307.704861111109</v>
      </c>
      <c r="E218" t="s">
        <v>87</v>
      </c>
      <c r="F218" t="s">
        <v>48</v>
      </c>
      <c r="G218" t="s">
        <v>49</v>
      </c>
      <c r="H218" t="s">
        <v>68</v>
      </c>
      <c r="I218" t="s">
        <v>69</v>
      </c>
      <c r="J218" t="s">
        <v>70</v>
      </c>
      <c r="K218" t="s">
        <v>469</v>
      </c>
      <c r="L218" t="s">
        <v>470</v>
      </c>
      <c r="M218" t="s">
        <v>471</v>
      </c>
      <c r="N218">
        <v>15793858</v>
      </c>
      <c r="O218" t="s">
        <v>52</v>
      </c>
      <c r="P218" t="s">
        <v>472</v>
      </c>
    </row>
    <row r="219" spans="1:16" x14ac:dyDescent="0.3">
      <c r="A219" t="s">
        <v>2537</v>
      </c>
      <c r="B219" t="s">
        <v>113</v>
      </c>
      <c r="C219" s="51">
        <v>46309.958333333336</v>
      </c>
      <c r="D219" s="51">
        <v>46307.704861111109</v>
      </c>
      <c r="E219" t="s">
        <v>87</v>
      </c>
      <c r="F219" t="s">
        <v>48</v>
      </c>
      <c r="G219" t="s">
        <v>49</v>
      </c>
      <c r="H219" t="s">
        <v>114</v>
      </c>
      <c r="I219" t="s">
        <v>115</v>
      </c>
      <c r="J219" t="s">
        <v>116</v>
      </c>
      <c r="K219" t="s">
        <v>469</v>
      </c>
      <c r="L219" t="s">
        <v>470</v>
      </c>
      <c r="M219" t="s">
        <v>471</v>
      </c>
      <c r="N219">
        <v>15793860</v>
      </c>
      <c r="O219" t="s">
        <v>52</v>
      </c>
      <c r="P219" t="s">
        <v>472</v>
      </c>
    </row>
    <row r="220" spans="1:16" x14ac:dyDescent="0.3">
      <c r="A220" t="s">
        <v>2538</v>
      </c>
      <c r="B220" t="s">
        <v>74</v>
      </c>
      <c r="C220" s="51">
        <v>46310.938194444447</v>
      </c>
      <c r="D220" s="51">
        <v>46307.7</v>
      </c>
      <c r="E220" t="s">
        <v>87</v>
      </c>
      <c r="F220" t="s">
        <v>48</v>
      </c>
      <c r="G220" t="s">
        <v>49</v>
      </c>
      <c r="H220" t="s">
        <v>75</v>
      </c>
      <c r="I220" t="s">
        <v>86</v>
      </c>
      <c r="J220" t="s">
        <v>70</v>
      </c>
      <c r="K220" t="s">
        <v>469</v>
      </c>
      <c r="L220" t="s">
        <v>470</v>
      </c>
      <c r="M220" t="s">
        <v>471</v>
      </c>
      <c r="N220">
        <v>15793864</v>
      </c>
      <c r="O220" t="s">
        <v>52</v>
      </c>
      <c r="P220" t="s">
        <v>472</v>
      </c>
    </row>
    <row r="221" spans="1:16" x14ac:dyDescent="0.3">
      <c r="A221" t="s">
        <v>2539</v>
      </c>
      <c r="B221" t="s">
        <v>124</v>
      </c>
      <c r="C221" s="51">
        <v>46310.683333333334</v>
      </c>
      <c r="D221" s="51">
        <v>46307.679166666669</v>
      </c>
      <c r="E221" t="s">
        <v>87</v>
      </c>
      <c r="F221" t="s">
        <v>77</v>
      </c>
      <c r="G221" t="s">
        <v>107</v>
      </c>
      <c r="H221" t="s">
        <v>125</v>
      </c>
      <c r="I221" t="s">
        <v>122</v>
      </c>
      <c r="J221" t="s">
        <v>55</v>
      </c>
      <c r="K221" t="s">
        <v>475</v>
      </c>
      <c r="L221" t="s">
        <v>473</v>
      </c>
      <c r="M221" t="s">
        <v>476</v>
      </c>
      <c r="O221" t="s">
        <v>503</v>
      </c>
      <c r="P221" t="s">
        <v>474</v>
      </c>
    </row>
    <row r="222" spans="1:16" x14ac:dyDescent="0.3">
      <c r="A222" t="s">
        <v>2540</v>
      </c>
      <c r="B222" t="s">
        <v>47</v>
      </c>
      <c r="C222" s="51">
        <v>46309.458333333336</v>
      </c>
      <c r="D222" s="51">
        <v>46307.663888888892</v>
      </c>
      <c r="E222" t="s">
        <v>87</v>
      </c>
      <c r="F222" t="s">
        <v>48</v>
      </c>
      <c r="G222" t="s">
        <v>49</v>
      </c>
      <c r="H222" t="s">
        <v>50</v>
      </c>
      <c r="I222" t="s">
        <v>66</v>
      </c>
      <c r="J222" t="s">
        <v>51</v>
      </c>
      <c r="K222" t="s">
        <v>469</v>
      </c>
      <c r="L222" t="s">
        <v>470</v>
      </c>
      <c r="M222" t="s">
        <v>471</v>
      </c>
      <c r="O222" t="s">
        <v>52</v>
      </c>
      <c r="P222" t="s">
        <v>472</v>
      </c>
    </row>
    <row r="223" spans="1:16" x14ac:dyDescent="0.3">
      <c r="A223" t="s">
        <v>2541</v>
      </c>
      <c r="B223" t="s">
        <v>74</v>
      </c>
      <c r="C223" s="51">
        <v>46309.458333333336</v>
      </c>
      <c r="D223" s="51">
        <v>46307.656944444447</v>
      </c>
      <c r="E223" t="s">
        <v>87</v>
      </c>
      <c r="F223" t="s">
        <v>48</v>
      </c>
      <c r="G223" t="s">
        <v>49</v>
      </c>
      <c r="H223" t="s">
        <v>75</v>
      </c>
      <c r="I223" t="s">
        <v>148</v>
      </c>
      <c r="J223" t="s">
        <v>70</v>
      </c>
      <c r="K223" t="s">
        <v>469</v>
      </c>
      <c r="L223" t="s">
        <v>470</v>
      </c>
      <c r="M223" t="s">
        <v>471</v>
      </c>
      <c r="O223" t="s">
        <v>52</v>
      </c>
      <c r="P223" t="s">
        <v>472</v>
      </c>
    </row>
    <row r="224" spans="1:16" x14ac:dyDescent="0.3">
      <c r="A224" t="s">
        <v>2542</v>
      </c>
      <c r="B224" t="s">
        <v>67</v>
      </c>
      <c r="C224" s="51">
        <v>46309.958333333336</v>
      </c>
      <c r="D224" s="51">
        <v>46307.643750000003</v>
      </c>
      <c r="E224" t="s">
        <v>87</v>
      </c>
      <c r="F224" t="s">
        <v>48</v>
      </c>
      <c r="G224" t="s">
        <v>49</v>
      </c>
      <c r="H224" t="s">
        <v>68</v>
      </c>
      <c r="I224" t="s">
        <v>69</v>
      </c>
      <c r="J224" t="s">
        <v>70</v>
      </c>
      <c r="K224" t="s">
        <v>469</v>
      </c>
      <c r="L224" t="s">
        <v>470</v>
      </c>
      <c r="M224" t="s">
        <v>471</v>
      </c>
      <c r="N224">
        <v>15793868</v>
      </c>
      <c r="O224" t="s">
        <v>52</v>
      </c>
      <c r="P224" t="s">
        <v>472</v>
      </c>
    </row>
    <row r="225" spans="1:16" x14ac:dyDescent="0.3">
      <c r="A225" t="s">
        <v>2543</v>
      </c>
      <c r="B225" t="s">
        <v>74</v>
      </c>
      <c r="C225" s="51">
        <v>46309.958333333336</v>
      </c>
      <c r="D225" s="51">
        <v>46307.634027777778</v>
      </c>
      <c r="E225" t="s">
        <v>87</v>
      </c>
      <c r="F225" t="s">
        <v>48</v>
      </c>
      <c r="G225" t="s">
        <v>49</v>
      </c>
      <c r="H225" t="s">
        <v>75</v>
      </c>
      <c r="I225" t="s">
        <v>86</v>
      </c>
      <c r="J225" t="s">
        <v>70</v>
      </c>
      <c r="K225" t="s">
        <v>469</v>
      </c>
      <c r="L225" t="s">
        <v>470</v>
      </c>
      <c r="M225" t="s">
        <v>471</v>
      </c>
      <c r="N225">
        <v>15793800</v>
      </c>
      <c r="O225" t="s">
        <v>52</v>
      </c>
      <c r="P225" t="s">
        <v>472</v>
      </c>
    </row>
    <row r="226" spans="1:16" x14ac:dyDescent="0.3">
      <c r="A226" t="s">
        <v>2544</v>
      </c>
      <c r="B226" t="s">
        <v>67</v>
      </c>
      <c r="C226" s="51">
        <v>46310.938194444447</v>
      </c>
      <c r="D226" s="51">
        <v>46307.630555555559</v>
      </c>
      <c r="E226" t="s">
        <v>87</v>
      </c>
      <c r="F226" t="s">
        <v>48</v>
      </c>
      <c r="G226" t="s">
        <v>49</v>
      </c>
      <c r="H226" t="s">
        <v>68</v>
      </c>
      <c r="I226" t="s">
        <v>69</v>
      </c>
      <c r="J226" t="s">
        <v>70</v>
      </c>
      <c r="K226" t="s">
        <v>469</v>
      </c>
      <c r="L226" t="s">
        <v>470</v>
      </c>
      <c r="M226" t="s">
        <v>471</v>
      </c>
      <c r="N226">
        <v>15793802</v>
      </c>
      <c r="O226" t="s">
        <v>52</v>
      </c>
      <c r="P226" t="s">
        <v>472</v>
      </c>
    </row>
    <row r="227" spans="1:16" x14ac:dyDescent="0.3">
      <c r="A227" t="s">
        <v>2545</v>
      </c>
      <c r="B227" t="s">
        <v>62</v>
      </c>
      <c r="C227" s="51">
        <v>46309.708333333336</v>
      </c>
      <c r="D227" s="51">
        <v>46307.630555555559</v>
      </c>
      <c r="E227" t="s">
        <v>87</v>
      </c>
      <c r="F227" t="s">
        <v>53</v>
      </c>
      <c r="G227" t="s">
        <v>54</v>
      </c>
      <c r="H227" t="s">
        <v>63</v>
      </c>
      <c r="I227" t="s">
        <v>64</v>
      </c>
      <c r="J227" t="s">
        <v>65</v>
      </c>
      <c r="K227" t="s">
        <v>481</v>
      </c>
      <c r="L227" t="s">
        <v>470</v>
      </c>
      <c r="M227" t="s">
        <v>471</v>
      </c>
      <c r="O227" t="s">
        <v>52</v>
      </c>
      <c r="P227" t="s">
        <v>472</v>
      </c>
    </row>
    <row r="228" spans="1:16" x14ac:dyDescent="0.3">
      <c r="A228" t="s">
        <v>2546</v>
      </c>
      <c r="B228" t="s">
        <v>62</v>
      </c>
      <c r="C228" s="51">
        <v>46309.708333333336</v>
      </c>
      <c r="D228" s="51">
        <v>46307.62222222222</v>
      </c>
      <c r="E228" t="s">
        <v>87</v>
      </c>
      <c r="F228" t="s">
        <v>53</v>
      </c>
      <c r="G228" t="s">
        <v>54</v>
      </c>
      <c r="H228" t="s">
        <v>63</v>
      </c>
      <c r="I228" t="s">
        <v>64</v>
      </c>
      <c r="J228" t="s">
        <v>65</v>
      </c>
      <c r="K228" t="s">
        <v>481</v>
      </c>
      <c r="L228" t="s">
        <v>470</v>
      </c>
      <c r="M228" t="s">
        <v>471</v>
      </c>
      <c r="O228" t="s">
        <v>52</v>
      </c>
      <c r="P228" t="s">
        <v>472</v>
      </c>
    </row>
    <row r="229" spans="1:16" x14ac:dyDescent="0.3">
      <c r="A229" t="s">
        <v>2547</v>
      </c>
      <c r="B229" t="s">
        <v>67</v>
      </c>
      <c r="C229" s="51">
        <v>46309.708333333336</v>
      </c>
      <c r="D229" s="51">
        <v>46307.62222222222</v>
      </c>
      <c r="E229" t="s">
        <v>87</v>
      </c>
      <c r="F229" t="s">
        <v>48</v>
      </c>
      <c r="G229" t="s">
        <v>49</v>
      </c>
      <c r="H229" t="s">
        <v>68</v>
      </c>
      <c r="I229" t="s">
        <v>69</v>
      </c>
      <c r="J229" t="s">
        <v>70</v>
      </c>
      <c r="K229" t="s">
        <v>469</v>
      </c>
      <c r="L229" t="s">
        <v>470</v>
      </c>
      <c r="M229" t="s">
        <v>471</v>
      </c>
      <c r="N229">
        <v>15796018</v>
      </c>
      <c r="O229" t="s">
        <v>52</v>
      </c>
      <c r="P229" t="s">
        <v>472</v>
      </c>
    </row>
    <row r="230" spans="1:16" x14ac:dyDescent="0.3">
      <c r="A230" t="s">
        <v>2548</v>
      </c>
      <c r="B230" t="s">
        <v>62</v>
      </c>
      <c r="C230" s="51">
        <v>46309.708333333336</v>
      </c>
      <c r="D230" s="51">
        <v>46307.62222222222</v>
      </c>
      <c r="E230" t="s">
        <v>87</v>
      </c>
      <c r="F230" t="s">
        <v>53</v>
      </c>
      <c r="G230" t="s">
        <v>54</v>
      </c>
      <c r="H230" t="s">
        <v>63</v>
      </c>
      <c r="I230" t="s">
        <v>64</v>
      </c>
      <c r="J230" t="s">
        <v>65</v>
      </c>
      <c r="K230" t="s">
        <v>481</v>
      </c>
      <c r="L230" t="s">
        <v>470</v>
      </c>
      <c r="M230" t="s">
        <v>471</v>
      </c>
      <c r="O230" t="s">
        <v>52</v>
      </c>
      <c r="P230" t="s">
        <v>472</v>
      </c>
    </row>
    <row r="231" spans="1:16" x14ac:dyDescent="0.3">
      <c r="A231" t="s">
        <v>2549</v>
      </c>
      <c r="B231" t="s">
        <v>67</v>
      </c>
      <c r="C231" s="51">
        <v>46311.938194444447</v>
      </c>
      <c r="D231" s="51">
        <v>46307.62222222222</v>
      </c>
      <c r="E231" t="s">
        <v>87</v>
      </c>
      <c r="F231" t="s">
        <v>48</v>
      </c>
      <c r="G231" t="s">
        <v>49</v>
      </c>
      <c r="H231" t="s">
        <v>68</v>
      </c>
      <c r="I231" t="s">
        <v>69</v>
      </c>
      <c r="J231" t="s">
        <v>70</v>
      </c>
      <c r="K231" t="s">
        <v>469</v>
      </c>
      <c r="L231" t="s">
        <v>470</v>
      </c>
      <c r="M231" t="s">
        <v>471</v>
      </c>
      <c r="N231">
        <v>15796000</v>
      </c>
      <c r="O231" t="s">
        <v>52</v>
      </c>
      <c r="P231" t="s">
        <v>472</v>
      </c>
    </row>
    <row r="232" spans="1:16" x14ac:dyDescent="0.3">
      <c r="A232" t="s">
        <v>2550</v>
      </c>
      <c r="B232" t="s">
        <v>62</v>
      </c>
      <c r="C232" s="51">
        <v>46309.666666666664</v>
      </c>
      <c r="D232" s="51">
        <v>46307.62222222222</v>
      </c>
      <c r="E232" t="s">
        <v>87</v>
      </c>
      <c r="F232" t="s">
        <v>53</v>
      </c>
      <c r="G232" t="s">
        <v>54</v>
      </c>
      <c r="H232" t="s">
        <v>63</v>
      </c>
      <c r="I232" t="s">
        <v>64</v>
      </c>
      <c r="J232" t="s">
        <v>65</v>
      </c>
      <c r="K232" t="s">
        <v>481</v>
      </c>
      <c r="L232" t="s">
        <v>470</v>
      </c>
      <c r="M232" t="s">
        <v>471</v>
      </c>
      <c r="O232" t="s">
        <v>52</v>
      </c>
      <c r="P232" t="s">
        <v>472</v>
      </c>
    </row>
    <row r="233" spans="1:16" x14ac:dyDescent="0.3">
      <c r="A233" t="s">
        <v>2551</v>
      </c>
      <c r="B233" t="s">
        <v>67</v>
      </c>
      <c r="C233" s="51">
        <v>46309.708333333336</v>
      </c>
      <c r="D233" s="51">
        <v>46307.62222222222</v>
      </c>
      <c r="E233" t="s">
        <v>87</v>
      </c>
      <c r="F233" t="s">
        <v>48</v>
      </c>
      <c r="G233" t="s">
        <v>49</v>
      </c>
      <c r="H233" t="s">
        <v>68</v>
      </c>
      <c r="I233" t="s">
        <v>69</v>
      </c>
      <c r="J233" t="s">
        <v>70</v>
      </c>
      <c r="K233" t="s">
        <v>469</v>
      </c>
      <c r="L233" t="s">
        <v>470</v>
      </c>
      <c r="M233" t="s">
        <v>471</v>
      </c>
      <c r="N233">
        <v>15796038</v>
      </c>
      <c r="O233" t="s">
        <v>52</v>
      </c>
      <c r="P233" t="s">
        <v>472</v>
      </c>
    </row>
    <row r="234" spans="1:16" x14ac:dyDescent="0.3">
      <c r="A234" t="s">
        <v>2552</v>
      </c>
      <c r="B234" t="s">
        <v>62</v>
      </c>
      <c r="C234" s="51">
        <v>46309.666666666664</v>
      </c>
      <c r="D234" s="51">
        <v>46307.618750000001</v>
      </c>
      <c r="E234" t="s">
        <v>87</v>
      </c>
      <c r="F234" t="s">
        <v>53</v>
      </c>
      <c r="G234" t="s">
        <v>54</v>
      </c>
      <c r="H234" t="s">
        <v>63</v>
      </c>
      <c r="I234" t="s">
        <v>64</v>
      </c>
      <c r="J234" t="s">
        <v>65</v>
      </c>
      <c r="K234" t="s">
        <v>481</v>
      </c>
      <c r="L234" t="s">
        <v>470</v>
      </c>
      <c r="M234" t="s">
        <v>471</v>
      </c>
      <c r="O234" t="s">
        <v>52</v>
      </c>
      <c r="P234" t="s">
        <v>472</v>
      </c>
    </row>
    <row r="235" spans="1:16" x14ac:dyDescent="0.3">
      <c r="A235" t="s">
        <v>2553</v>
      </c>
      <c r="B235" t="s">
        <v>62</v>
      </c>
      <c r="C235" s="51">
        <v>46309.666666666664</v>
      </c>
      <c r="D235" s="51">
        <v>46307.618750000001</v>
      </c>
      <c r="E235" t="s">
        <v>87</v>
      </c>
      <c r="F235" t="s">
        <v>53</v>
      </c>
      <c r="G235" t="s">
        <v>54</v>
      </c>
      <c r="H235" t="s">
        <v>63</v>
      </c>
      <c r="I235" t="s">
        <v>64</v>
      </c>
      <c r="J235" t="s">
        <v>65</v>
      </c>
      <c r="K235" t="s">
        <v>481</v>
      </c>
      <c r="L235" t="s">
        <v>470</v>
      </c>
      <c r="M235" t="s">
        <v>471</v>
      </c>
      <c r="O235" t="s">
        <v>52</v>
      </c>
      <c r="P235" t="s">
        <v>472</v>
      </c>
    </row>
    <row r="236" spans="1:16" x14ac:dyDescent="0.3">
      <c r="A236" t="s">
        <v>2554</v>
      </c>
      <c r="B236" t="s">
        <v>67</v>
      </c>
      <c r="C236" s="51">
        <v>46311.938194444447</v>
      </c>
      <c r="D236" s="51">
        <v>46307.618055555555</v>
      </c>
      <c r="E236" t="s">
        <v>87</v>
      </c>
      <c r="F236" t="s">
        <v>48</v>
      </c>
      <c r="G236" t="s">
        <v>49</v>
      </c>
      <c r="H236" t="s">
        <v>68</v>
      </c>
      <c r="I236" t="s">
        <v>69</v>
      </c>
      <c r="J236" t="s">
        <v>70</v>
      </c>
      <c r="K236" t="s">
        <v>469</v>
      </c>
      <c r="L236" t="s">
        <v>470</v>
      </c>
      <c r="M236" t="s">
        <v>471</v>
      </c>
      <c r="N236">
        <v>15801806</v>
      </c>
      <c r="O236" t="s">
        <v>52</v>
      </c>
      <c r="P236" t="s">
        <v>472</v>
      </c>
    </row>
    <row r="237" spans="1:16" x14ac:dyDescent="0.3">
      <c r="A237" t="s">
        <v>2555</v>
      </c>
      <c r="B237" t="s">
        <v>67</v>
      </c>
      <c r="C237" s="51">
        <v>46309.708333333336</v>
      </c>
      <c r="D237" s="51">
        <v>46307.618055555555</v>
      </c>
      <c r="E237" t="s">
        <v>87</v>
      </c>
      <c r="F237" t="s">
        <v>48</v>
      </c>
      <c r="G237" t="s">
        <v>49</v>
      </c>
      <c r="H237" t="s">
        <v>68</v>
      </c>
      <c r="I237" t="s">
        <v>69</v>
      </c>
      <c r="J237" t="s">
        <v>70</v>
      </c>
      <c r="K237" t="s">
        <v>469</v>
      </c>
      <c r="L237" t="s">
        <v>470</v>
      </c>
      <c r="M237" t="s">
        <v>471</v>
      </c>
      <c r="N237">
        <v>15795992</v>
      </c>
      <c r="O237" t="s">
        <v>52</v>
      </c>
      <c r="P237" t="s">
        <v>472</v>
      </c>
    </row>
    <row r="238" spans="1:16" x14ac:dyDescent="0.3">
      <c r="A238" t="s">
        <v>2556</v>
      </c>
      <c r="B238" t="s">
        <v>62</v>
      </c>
      <c r="C238" s="51">
        <v>46309.666666666664</v>
      </c>
      <c r="D238" s="51">
        <v>46307.607638888891</v>
      </c>
      <c r="E238" t="s">
        <v>87</v>
      </c>
      <c r="F238" t="s">
        <v>53</v>
      </c>
      <c r="G238" t="s">
        <v>54</v>
      </c>
      <c r="H238" t="s">
        <v>63</v>
      </c>
      <c r="I238" t="s">
        <v>64</v>
      </c>
      <c r="J238" t="s">
        <v>65</v>
      </c>
      <c r="K238" t="s">
        <v>481</v>
      </c>
      <c r="L238" t="s">
        <v>470</v>
      </c>
      <c r="M238" t="s">
        <v>471</v>
      </c>
      <c r="O238" t="s">
        <v>52</v>
      </c>
      <c r="P238" t="s">
        <v>472</v>
      </c>
    </row>
    <row r="239" spans="1:16" x14ac:dyDescent="0.3">
      <c r="A239" t="s">
        <v>2557</v>
      </c>
      <c r="B239" t="s">
        <v>47</v>
      </c>
      <c r="C239" s="51">
        <v>46311.938194444447</v>
      </c>
      <c r="D239" s="51">
        <v>46307.606249999997</v>
      </c>
      <c r="E239" t="s">
        <v>87</v>
      </c>
      <c r="F239" t="s">
        <v>48</v>
      </c>
      <c r="G239" t="s">
        <v>49</v>
      </c>
      <c r="H239" t="s">
        <v>50</v>
      </c>
      <c r="I239" t="s">
        <v>149</v>
      </c>
      <c r="J239" t="s">
        <v>51</v>
      </c>
      <c r="K239" t="s">
        <v>469</v>
      </c>
      <c r="L239" t="s">
        <v>470</v>
      </c>
      <c r="M239" t="s">
        <v>471</v>
      </c>
      <c r="N239">
        <v>15795796</v>
      </c>
      <c r="O239" t="s">
        <v>52</v>
      </c>
      <c r="P239" t="s">
        <v>472</v>
      </c>
    </row>
    <row r="240" spans="1:16" x14ac:dyDescent="0.3">
      <c r="A240" t="s">
        <v>2558</v>
      </c>
      <c r="B240" t="s">
        <v>62</v>
      </c>
      <c r="C240" s="51">
        <v>46309.666666666664</v>
      </c>
      <c r="D240" s="51">
        <v>46307.6</v>
      </c>
      <c r="E240" t="s">
        <v>87</v>
      </c>
      <c r="F240" t="s">
        <v>53</v>
      </c>
      <c r="G240" t="s">
        <v>54</v>
      </c>
      <c r="H240" t="s">
        <v>63</v>
      </c>
      <c r="I240" t="s">
        <v>64</v>
      </c>
      <c r="J240" t="s">
        <v>65</v>
      </c>
      <c r="K240" t="s">
        <v>481</v>
      </c>
      <c r="L240" t="s">
        <v>470</v>
      </c>
      <c r="M240" t="s">
        <v>471</v>
      </c>
      <c r="O240" t="s">
        <v>52</v>
      </c>
      <c r="P240" t="s">
        <v>472</v>
      </c>
    </row>
    <row r="241" spans="1:16" x14ac:dyDescent="0.3">
      <c r="A241" t="s">
        <v>2559</v>
      </c>
      <c r="B241" t="s">
        <v>62</v>
      </c>
      <c r="C241" s="51">
        <v>46309.666666666664</v>
      </c>
      <c r="D241" s="51">
        <v>46307.599305555559</v>
      </c>
      <c r="E241" t="s">
        <v>87</v>
      </c>
      <c r="F241" t="s">
        <v>53</v>
      </c>
      <c r="G241" t="s">
        <v>54</v>
      </c>
      <c r="H241" t="s">
        <v>63</v>
      </c>
      <c r="I241" t="s">
        <v>64</v>
      </c>
      <c r="J241" t="s">
        <v>65</v>
      </c>
      <c r="K241" t="s">
        <v>481</v>
      </c>
      <c r="L241" t="s">
        <v>470</v>
      </c>
      <c r="M241" t="s">
        <v>471</v>
      </c>
      <c r="O241" t="s">
        <v>52</v>
      </c>
      <c r="P241" t="s">
        <v>472</v>
      </c>
    </row>
    <row r="242" spans="1:16" x14ac:dyDescent="0.3">
      <c r="A242" t="s">
        <v>2560</v>
      </c>
      <c r="B242" t="s">
        <v>67</v>
      </c>
      <c r="C242" s="51">
        <v>46309.666666666664</v>
      </c>
      <c r="D242" s="51">
        <v>46307.599305555559</v>
      </c>
      <c r="E242" t="s">
        <v>87</v>
      </c>
      <c r="F242" t="s">
        <v>48</v>
      </c>
      <c r="G242" t="s">
        <v>49</v>
      </c>
      <c r="H242" t="s">
        <v>68</v>
      </c>
      <c r="I242" t="s">
        <v>69</v>
      </c>
      <c r="J242" t="s">
        <v>70</v>
      </c>
      <c r="K242" t="s">
        <v>469</v>
      </c>
      <c r="L242" t="s">
        <v>470</v>
      </c>
      <c r="M242" t="s">
        <v>471</v>
      </c>
      <c r="N242">
        <v>15795836</v>
      </c>
      <c r="O242" t="s">
        <v>52</v>
      </c>
      <c r="P242" t="s">
        <v>472</v>
      </c>
    </row>
    <row r="243" spans="1:16" x14ac:dyDescent="0.3">
      <c r="A243" t="s">
        <v>2561</v>
      </c>
      <c r="B243" t="s">
        <v>71</v>
      </c>
      <c r="C243" s="51">
        <v>46311.938194444447</v>
      </c>
      <c r="D243" s="51">
        <v>46307.597916666666</v>
      </c>
      <c r="E243" t="s">
        <v>87</v>
      </c>
      <c r="F243" t="s">
        <v>48</v>
      </c>
      <c r="G243" t="s">
        <v>49</v>
      </c>
      <c r="H243" t="s">
        <v>72</v>
      </c>
      <c r="I243" t="s">
        <v>73</v>
      </c>
      <c r="J243" t="s">
        <v>70</v>
      </c>
      <c r="K243" t="s">
        <v>469</v>
      </c>
      <c r="L243" t="s">
        <v>470</v>
      </c>
      <c r="M243" t="s">
        <v>471</v>
      </c>
      <c r="N243">
        <v>15795778</v>
      </c>
      <c r="O243" t="s">
        <v>52</v>
      </c>
      <c r="P243" t="s">
        <v>472</v>
      </c>
    </row>
    <row r="244" spans="1:16" x14ac:dyDescent="0.3">
      <c r="A244" t="s">
        <v>2562</v>
      </c>
      <c r="B244" t="s">
        <v>118</v>
      </c>
      <c r="C244" s="51">
        <v>46308.625</v>
      </c>
      <c r="D244" s="51">
        <v>46307.59652777778</v>
      </c>
      <c r="E244" t="s">
        <v>87</v>
      </c>
      <c r="F244" t="s">
        <v>77</v>
      </c>
      <c r="G244" t="s">
        <v>107</v>
      </c>
      <c r="H244" t="s">
        <v>119</v>
      </c>
      <c r="I244" t="s">
        <v>127</v>
      </c>
      <c r="J244" t="s">
        <v>128</v>
      </c>
      <c r="K244" t="s">
        <v>475</v>
      </c>
      <c r="L244" t="s">
        <v>473</v>
      </c>
      <c r="M244" t="s">
        <v>2563</v>
      </c>
      <c r="O244" t="s">
        <v>503</v>
      </c>
      <c r="P244" t="s">
        <v>474</v>
      </c>
    </row>
    <row r="245" spans="1:16" x14ac:dyDescent="0.3">
      <c r="A245" t="s">
        <v>2564</v>
      </c>
      <c r="B245" t="s">
        <v>137</v>
      </c>
      <c r="C245" s="51">
        <v>46310.583333333336</v>
      </c>
      <c r="D245" s="51">
        <v>46307.593055555553</v>
      </c>
      <c r="E245" t="s">
        <v>87</v>
      </c>
      <c r="F245" t="s">
        <v>53</v>
      </c>
      <c r="G245" t="s">
        <v>54</v>
      </c>
      <c r="H245" t="s">
        <v>138</v>
      </c>
      <c r="I245" t="s">
        <v>166</v>
      </c>
      <c r="J245" t="s">
        <v>55</v>
      </c>
      <c r="K245" t="s">
        <v>481</v>
      </c>
      <c r="L245" t="s">
        <v>473</v>
      </c>
      <c r="M245" t="s">
        <v>480</v>
      </c>
      <c r="O245" t="s">
        <v>129</v>
      </c>
      <c r="P245" t="s">
        <v>474</v>
      </c>
    </row>
    <row r="246" spans="1:16" x14ac:dyDescent="0.3">
      <c r="A246" t="s">
        <v>2565</v>
      </c>
      <c r="B246" t="s">
        <v>47</v>
      </c>
      <c r="C246" s="51">
        <v>46308.625</v>
      </c>
      <c r="D246" s="51">
        <v>46307.591666666667</v>
      </c>
      <c r="E246" t="s">
        <v>87</v>
      </c>
      <c r="F246" t="s">
        <v>48</v>
      </c>
      <c r="G246" t="s">
        <v>49</v>
      </c>
      <c r="H246" t="s">
        <v>50</v>
      </c>
      <c r="I246" t="s">
        <v>130</v>
      </c>
      <c r="J246" t="s">
        <v>172</v>
      </c>
      <c r="K246" t="s">
        <v>469</v>
      </c>
      <c r="L246" t="s">
        <v>470</v>
      </c>
      <c r="M246" t="s">
        <v>2566</v>
      </c>
      <c r="O246" t="s">
        <v>52</v>
      </c>
      <c r="P246" t="s">
        <v>474</v>
      </c>
    </row>
    <row r="247" spans="1:16" x14ac:dyDescent="0.3">
      <c r="A247" t="s">
        <v>2567</v>
      </c>
      <c r="B247" t="s">
        <v>62</v>
      </c>
      <c r="C247" s="51">
        <v>46309.625</v>
      </c>
      <c r="D247" s="51">
        <v>46307.582638888889</v>
      </c>
      <c r="E247" t="s">
        <v>87</v>
      </c>
      <c r="F247" t="s">
        <v>53</v>
      </c>
      <c r="G247" t="s">
        <v>54</v>
      </c>
      <c r="H247" t="s">
        <v>63</v>
      </c>
      <c r="I247" t="s">
        <v>64</v>
      </c>
      <c r="J247" t="s">
        <v>65</v>
      </c>
      <c r="K247" t="s">
        <v>481</v>
      </c>
      <c r="L247" t="s">
        <v>470</v>
      </c>
      <c r="M247" t="s">
        <v>471</v>
      </c>
      <c r="O247" t="s">
        <v>52</v>
      </c>
      <c r="P247" t="s">
        <v>472</v>
      </c>
    </row>
    <row r="248" spans="1:16" x14ac:dyDescent="0.3">
      <c r="A248" t="s">
        <v>2568</v>
      </c>
      <c r="B248" t="s">
        <v>67</v>
      </c>
      <c r="C248" s="51">
        <v>46311.938194444447</v>
      </c>
      <c r="D248" s="51">
        <v>46307.582638888889</v>
      </c>
      <c r="E248" t="s">
        <v>87</v>
      </c>
      <c r="F248" t="s">
        <v>48</v>
      </c>
      <c r="G248" t="s">
        <v>49</v>
      </c>
      <c r="H248" t="s">
        <v>68</v>
      </c>
      <c r="I248" t="s">
        <v>69</v>
      </c>
      <c r="J248" t="s">
        <v>70</v>
      </c>
      <c r="K248" t="s">
        <v>469</v>
      </c>
      <c r="L248" t="s">
        <v>470</v>
      </c>
      <c r="M248" t="s">
        <v>471</v>
      </c>
      <c r="N248">
        <v>15795422</v>
      </c>
      <c r="O248" t="s">
        <v>52</v>
      </c>
      <c r="P248" t="s">
        <v>472</v>
      </c>
    </row>
    <row r="249" spans="1:16" x14ac:dyDescent="0.3">
      <c r="A249" t="s">
        <v>2569</v>
      </c>
      <c r="B249" t="s">
        <v>62</v>
      </c>
      <c r="C249" s="51">
        <v>46309.625</v>
      </c>
      <c r="D249" s="51">
        <v>46307.579861111109</v>
      </c>
      <c r="E249" t="s">
        <v>87</v>
      </c>
      <c r="F249" t="s">
        <v>53</v>
      </c>
      <c r="G249" t="s">
        <v>54</v>
      </c>
      <c r="H249" t="s">
        <v>63</v>
      </c>
      <c r="I249" t="s">
        <v>64</v>
      </c>
      <c r="J249" t="s">
        <v>65</v>
      </c>
      <c r="K249" t="s">
        <v>481</v>
      </c>
      <c r="L249" t="s">
        <v>470</v>
      </c>
      <c r="M249" t="s">
        <v>471</v>
      </c>
      <c r="O249" t="s">
        <v>52</v>
      </c>
      <c r="P249" t="s">
        <v>472</v>
      </c>
    </row>
    <row r="250" spans="1:16" x14ac:dyDescent="0.3">
      <c r="A250" t="s">
        <v>2570</v>
      </c>
      <c r="B250" t="s">
        <v>2571</v>
      </c>
      <c r="C250" s="51">
        <v>46310.583333333336</v>
      </c>
      <c r="D250" s="51">
        <v>46307.57916666667</v>
      </c>
      <c r="E250" t="s">
        <v>87</v>
      </c>
      <c r="F250" t="s">
        <v>77</v>
      </c>
      <c r="G250" t="s">
        <v>78</v>
      </c>
      <c r="H250" t="s">
        <v>2572</v>
      </c>
      <c r="I250" t="s">
        <v>2573</v>
      </c>
      <c r="J250" t="s">
        <v>55</v>
      </c>
      <c r="K250" t="s">
        <v>482</v>
      </c>
      <c r="L250" t="s">
        <v>473</v>
      </c>
      <c r="M250">
        <v>0</v>
      </c>
      <c r="O250" t="s">
        <v>503</v>
      </c>
      <c r="P250" t="s">
        <v>474</v>
      </c>
    </row>
    <row r="251" spans="1:16" x14ac:dyDescent="0.3">
      <c r="A251" t="s">
        <v>2574</v>
      </c>
      <c r="B251" t="s">
        <v>67</v>
      </c>
      <c r="C251" s="51">
        <v>46309.625</v>
      </c>
      <c r="D251" s="51">
        <v>46307.57708333333</v>
      </c>
      <c r="E251" t="s">
        <v>87</v>
      </c>
      <c r="F251" t="s">
        <v>48</v>
      </c>
      <c r="G251" t="s">
        <v>49</v>
      </c>
      <c r="H251" t="s">
        <v>68</v>
      </c>
      <c r="I251" t="s">
        <v>69</v>
      </c>
      <c r="J251" t="s">
        <v>70</v>
      </c>
      <c r="K251" t="s">
        <v>469</v>
      </c>
      <c r="L251" t="s">
        <v>470</v>
      </c>
      <c r="M251" t="s">
        <v>471</v>
      </c>
      <c r="N251">
        <v>15795404</v>
      </c>
      <c r="O251" t="s">
        <v>52</v>
      </c>
      <c r="P251" t="s">
        <v>472</v>
      </c>
    </row>
    <row r="252" spans="1:16" x14ac:dyDescent="0.3">
      <c r="A252" t="s">
        <v>2575</v>
      </c>
      <c r="B252" t="s">
        <v>2576</v>
      </c>
      <c r="C252" s="51">
        <v>46308.583333333336</v>
      </c>
      <c r="D252" s="51">
        <v>46307.56527777778</v>
      </c>
      <c r="E252" t="s">
        <v>87</v>
      </c>
      <c r="F252" t="s">
        <v>48</v>
      </c>
      <c r="G252" t="s">
        <v>525</v>
      </c>
      <c r="H252" t="s">
        <v>121</v>
      </c>
      <c r="I252" t="s">
        <v>82</v>
      </c>
      <c r="J252" t="s">
        <v>83</v>
      </c>
      <c r="K252" t="s">
        <v>469</v>
      </c>
      <c r="L252" t="s">
        <v>473</v>
      </c>
      <c r="M252">
        <v>0</v>
      </c>
      <c r="O252" t="s">
        <v>503</v>
      </c>
      <c r="P252" t="s">
        <v>474</v>
      </c>
    </row>
    <row r="253" spans="1:16" x14ac:dyDescent="0.3">
      <c r="A253" t="s">
        <v>2577</v>
      </c>
      <c r="B253" t="s">
        <v>62</v>
      </c>
      <c r="C253" s="51">
        <v>46309.583333333336</v>
      </c>
      <c r="D253" s="51">
        <v>46307.559027777781</v>
      </c>
      <c r="E253" t="s">
        <v>87</v>
      </c>
      <c r="F253" t="s">
        <v>53</v>
      </c>
      <c r="G253" t="s">
        <v>54</v>
      </c>
      <c r="H253" t="s">
        <v>63</v>
      </c>
      <c r="I253" t="s">
        <v>64</v>
      </c>
      <c r="J253" t="s">
        <v>65</v>
      </c>
      <c r="K253" t="s">
        <v>481</v>
      </c>
      <c r="L253" t="s">
        <v>470</v>
      </c>
      <c r="M253" t="s">
        <v>471</v>
      </c>
      <c r="O253" t="s">
        <v>52</v>
      </c>
      <c r="P253" t="s">
        <v>472</v>
      </c>
    </row>
    <row r="254" spans="1:16" x14ac:dyDescent="0.3">
      <c r="A254" t="s">
        <v>2578</v>
      </c>
      <c r="B254" t="s">
        <v>67</v>
      </c>
      <c r="C254" s="51">
        <v>46309.938194444447</v>
      </c>
      <c r="D254" s="51">
        <v>46307.559027777781</v>
      </c>
      <c r="E254" t="s">
        <v>87</v>
      </c>
      <c r="F254" t="s">
        <v>48</v>
      </c>
      <c r="G254" t="s">
        <v>49</v>
      </c>
      <c r="H254" t="s">
        <v>68</v>
      </c>
      <c r="I254" t="s">
        <v>69</v>
      </c>
      <c r="J254" t="s">
        <v>70</v>
      </c>
      <c r="K254" t="s">
        <v>469</v>
      </c>
      <c r="L254" t="s">
        <v>470</v>
      </c>
      <c r="M254" t="s">
        <v>471</v>
      </c>
      <c r="N254">
        <v>15795220</v>
      </c>
      <c r="O254" t="s">
        <v>52</v>
      </c>
      <c r="P254" t="s">
        <v>472</v>
      </c>
    </row>
    <row r="255" spans="1:16" x14ac:dyDescent="0.3">
      <c r="A255" t="s">
        <v>2579</v>
      </c>
      <c r="B255" t="s">
        <v>62</v>
      </c>
      <c r="C255" s="51">
        <v>46309.583333333336</v>
      </c>
      <c r="D255" s="51">
        <v>46307.559027777781</v>
      </c>
      <c r="E255" t="s">
        <v>87</v>
      </c>
      <c r="F255" t="s">
        <v>53</v>
      </c>
      <c r="G255" t="s">
        <v>54</v>
      </c>
      <c r="H255" t="s">
        <v>63</v>
      </c>
      <c r="I255" t="s">
        <v>64</v>
      </c>
      <c r="J255" t="s">
        <v>65</v>
      </c>
      <c r="K255" t="s">
        <v>481</v>
      </c>
      <c r="L255" t="s">
        <v>470</v>
      </c>
      <c r="M255" t="s">
        <v>471</v>
      </c>
      <c r="O255" t="s">
        <v>52</v>
      </c>
      <c r="P255" t="s">
        <v>472</v>
      </c>
    </row>
    <row r="256" spans="1:16" x14ac:dyDescent="0.3">
      <c r="A256" t="s">
        <v>2580</v>
      </c>
      <c r="B256" t="s">
        <v>67</v>
      </c>
      <c r="C256" s="51">
        <v>46311.938194444447</v>
      </c>
      <c r="D256" s="51">
        <v>46307.559027777781</v>
      </c>
      <c r="E256" t="s">
        <v>87</v>
      </c>
      <c r="F256" t="s">
        <v>48</v>
      </c>
      <c r="G256" t="s">
        <v>49</v>
      </c>
      <c r="H256" t="s">
        <v>68</v>
      </c>
      <c r="I256" t="s">
        <v>69</v>
      </c>
      <c r="J256" t="s">
        <v>70</v>
      </c>
      <c r="K256" t="s">
        <v>469</v>
      </c>
      <c r="L256" t="s">
        <v>470</v>
      </c>
      <c r="M256" t="s">
        <v>471</v>
      </c>
      <c r="N256">
        <v>15795210</v>
      </c>
      <c r="O256" t="s">
        <v>52</v>
      </c>
      <c r="P256" t="s">
        <v>472</v>
      </c>
    </row>
    <row r="257" spans="1:16" x14ac:dyDescent="0.3">
      <c r="A257" t="s">
        <v>2581</v>
      </c>
      <c r="B257" t="s">
        <v>62</v>
      </c>
      <c r="C257" s="51">
        <v>46309.583333333336</v>
      </c>
      <c r="D257" s="51">
        <v>46307.559027777781</v>
      </c>
      <c r="E257" t="s">
        <v>87</v>
      </c>
      <c r="F257" t="s">
        <v>53</v>
      </c>
      <c r="G257" t="s">
        <v>54</v>
      </c>
      <c r="H257" t="s">
        <v>63</v>
      </c>
      <c r="I257" t="s">
        <v>64</v>
      </c>
      <c r="J257" t="s">
        <v>65</v>
      </c>
      <c r="K257" t="s">
        <v>481</v>
      </c>
      <c r="L257" t="s">
        <v>470</v>
      </c>
      <c r="M257" t="s">
        <v>471</v>
      </c>
      <c r="O257" t="s">
        <v>52</v>
      </c>
      <c r="P257" t="s">
        <v>472</v>
      </c>
    </row>
    <row r="258" spans="1:16" x14ac:dyDescent="0.3">
      <c r="A258" t="s">
        <v>2582</v>
      </c>
      <c r="B258" t="s">
        <v>67</v>
      </c>
      <c r="C258" s="51">
        <v>46309.938194444447</v>
      </c>
      <c r="D258" s="51">
        <v>46307.559027777781</v>
      </c>
      <c r="E258" t="s">
        <v>87</v>
      </c>
      <c r="F258" t="s">
        <v>48</v>
      </c>
      <c r="G258" t="s">
        <v>49</v>
      </c>
      <c r="H258" t="s">
        <v>68</v>
      </c>
      <c r="I258" t="s">
        <v>69</v>
      </c>
      <c r="J258" t="s">
        <v>70</v>
      </c>
      <c r="K258" t="s">
        <v>469</v>
      </c>
      <c r="L258" t="s">
        <v>470</v>
      </c>
      <c r="M258" t="s">
        <v>471</v>
      </c>
      <c r="N258">
        <v>15795014</v>
      </c>
      <c r="O258" t="s">
        <v>52</v>
      </c>
      <c r="P258" t="s">
        <v>472</v>
      </c>
    </row>
    <row r="259" spans="1:16" x14ac:dyDescent="0.3">
      <c r="A259" t="s">
        <v>2583</v>
      </c>
      <c r="B259" t="s">
        <v>62</v>
      </c>
      <c r="C259" s="51">
        <v>46309.583333333336</v>
      </c>
      <c r="D259" s="51">
        <v>46307.554861111108</v>
      </c>
      <c r="E259" t="s">
        <v>87</v>
      </c>
      <c r="F259" t="s">
        <v>53</v>
      </c>
      <c r="G259" t="s">
        <v>54</v>
      </c>
      <c r="H259" t="s">
        <v>63</v>
      </c>
      <c r="I259" t="s">
        <v>64</v>
      </c>
      <c r="J259" t="s">
        <v>65</v>
      </c>
      <c r="K259" t="s">
        <v>481</v>
      </c>
      <c r="L259" t="s">
        <v>470</v>
      </c>
      <c r="M259" t="s">
        <v>471</v>
      </c>
      <c r="O259" t="s">
        <v>52</v>
      </c>
      <c r="P259" t="s">
        <v>472</v>
      </c>
    </row>
    <row r="260" spans="1:16" x14ac:dyDescent="0.3">
      <c r="A260" t="s">
        <v>2584</v>
      </c>
      <c r="B260" t="s">
        <v>62</v>
      </c>
      <c r="C260" s="51">
        <v>46309.583333333336</v>
      </c>
      <c r="D260" s="51">
        <v>46307.553472222222</v>
      </c>
      <c r="E260" t="s">
        <v>87</v>
      </c>
      <c r="F260" t="s">
        <v>53</v>
      </c>
      <c r="G260" t="s">
        <v>54</v>
      </c>
      <c r="H260" t="s">
        <v>63</v>
      </c>
      <c r="I260" t="s">
        <v>64</v>
      </c>
      <c r="J260" t="s">
        <v>65</v>
      </c>
      <c r="K260" t="s">
        <v>481</v>
      </c>
      <c r="L260" t="s">
        <v>470</v>
      </c>
      <c r="M260" t="s">
        <v>471</v>
      </c>
      <c r="O260" t="s">
        <v>52</v>
      </c>
      <c r="P260" t="s">
        <v>472</v>
      </c>
    </row>
    <row r="261" spans="1:16" x14ac:dyDescent="0.3">
      <c r="A261" t="s">
        <v>2585</v>
      </c>
      <c r="B261" t="s">
        <v>62</v>
      </c>
      <c r="C261" s="51">
        <v>46309.583333333336</v>
      </c>
      <c r="D261" s="51">
        <v>46307.553472222222</v>
      </c>
      <c r="E261" t="s">
        <v>87</v>
      </c>
      <c r="F261" t="s">
        <v>53</v>
      </c>
      <c r="G261" t="s">
        <v>54</v>
      </c>
      <c r="H261" t="s">
        <v>63</v>
      </c>
      <c r="I261" t="s">
        <v>64</v>
      </c>
      <c r="J261" t="s">
        <v>65</v>
      </c>
      <c r="K261" t="s">
        <v>481</v>
      </c>
      <c r="L261" t="s">
        <v>470</v>
      </c>
      <c r="M261" t="s">
        <v>471</v>
      </c>
      <c r="O261" t="s">
        <v>52</v>
      </c>
      <c r="P261" t="s">
        <v>472</v>
      </c>
    </row>
    <row r="262" spans="1:16" x14ac:dyDescent="0.3">
      <c r="A262" t="s">
        <v>2586</v>
      </c>
      <c r="B262" t="s">
        <v>67</v>
      </c>
      <c r="C262" s="51">
        <v>46309.938194444447</v>
      </c>
      <c r="D262" s="51">
        <v>46307.553472222222</v>
      </c>
      <c r="E262" t="s">
        <v>87</v>
      </c>
      <c r="F262" t="s">
        <v>48</v>
      </c>
      <c r="G262" t="s">
        <v>49</v>
      </c>
      <c r="H262" t="s">
        <v>68</v>
      </c>
      <c r="I262" t="s">
        <v>69</v>
      </c>
      <c r="J262" t="s">
        <v>70</v>
      </c>
      <c r="K262" t="s">
        <v>469</v>
      </c>
      <c r="L262" t="s">
        <v>470</v>
      </c>
      <c r="M262" t="s">
        <v>471</v>
      </c>
      <c r="N262">
        <v>15795048</v>
      </c>
      <c r="O262" t="s">
        <v>52</v>
      </c>
      <c r="P262" t="s">
        <v>472</v>
      </c>
    </row>
    <row r="263" spans="1:16" x14ac:dyDescent="0.3">
      <c r="A263" t="s">
        <v>2587</v>
      </c>
      <c r="B263" t="s">
        <v>62</v>
      </c>
      <c r="C263" s="51">
        <v>46309.583333333336</v>
      </c>
      <c r="D263" s="51">
        <v>46307.553472222222</v>
      </c>
      <c r="E263" t="s">
        <v>87</v>
      </c>
      <c r="F263" t="s">
        <v>53</v>
      </c>
      <c r="G263" t="s">
        <v>54</v>
      </c>
      <c r="H263" t="s">
        <v>63</v>
      </c>
      <c r="I263" t="s">
        <v>64</v>
      </c>
      <c r="J263" t="s">
        <v>65</v>
      </c>
      <c r="K263" t="s">
        <v>481</v>
      </c>
      <c r="L263" t="s">
        <v>470</v>
      </c>
      <c r="M263" t="s">
        <v>471</v>
      </c>
      <c r="O263" t="s">
        <v>52</v>
      </c>
      <c r="P263" t="s">
        <v>472</v>
      </c>
    </row>
    <row r="264" spans="1:16" x14ac:dyDescent="0.3">
      <c r="A264" t="s">
        <v>2588</v>
      </c>
      <c r="B264" t="s">
        <v>67</v>
      </c>
      <c r="C264" s="51">
        <v>46309.938194444447</v>
      </c>
      <c r="D264" s="51">
        <v>46307.553472222222</v>
      </c>
      <c r="E264" t="s">
        <v>87</v>
      </c>
      <c r="F264" t="s">
        <v>48</v>
      </c>
      <c r="G264" t="s">
        <v>49</v>
      </c>
      <c r="H264" t="s">
        <v>68</v>
      </c>
      <c r="I264" t="s">
        <v>69</v>
      </c>
      <c r="J264" t="s">
        <v>70</v>
      </c>
      <c r="K264" t="s">
        <v>469</v>
      </c>
      <c r="L264" t="s">
        <v>470</v>
      </c>
      <c r="M264" t="s">
        <v>471</v>
      </c>
      <c r="N264">
        <v>15794848</v>
      </c>
      <c r="O264" t="s">
        <v>52</v>
      </c>
      <c r="P264" t="s">
        <v>472</v>
      </c>
    </row>
    <row r="265" spans="1:16" x14ac:dyDescent="0.3">
      <c r="A265" t="s">
        <v>2589</v>
      </c>
      <c r="B265" t="s">
        <v>67</v>
      </c>
      <c r="C265" s="51">
        <v>46309.938194444447</v>
      </c>
      <c r="D265" s="51">
        <v>46307.553472222222</v>
      </c>
      <c r="E265" t="s">
        <v>87</v>
      </c>
      <c r="F265" t="s">
        <v>48</v>
      </c>
      <c r="G265" t="s">
        <v>49</v>
      </c>
      <c r="H265" t="s">
        <v>68</v>
      </c>
      <c r="I265" t="s">
        <v>69</v>
      </c>
      <c r="J265" t="s">
        <v>70</v>
      </c>
      <c r="K265" t="s">
        <v>469</v>
      </c>
      <c r="L265" t="s">
        <v>470</v>
      </c>
      <c r="M265" t="s">
        <v>471</v>
      </c>
      <c r="N265">
        <v>15795008</v>
      </c>
      <c r="O265" t="s">
        <v>52</v>
      </c>
      <c r="P265" t="s">
        <v>472</v>
      </c>
    </row>
    <row r="266" spans="1:16" x14ac:dyDescent="0.3">
      <c r="A266" t="s">
        <v>2590</v>
      </c>
      <c r="B266" t="s">
        <v>74</v>
      </c>
      <c r="C266" s="51">
        <v>46310.938194444447</v>
      </c>
      <c r="D266" s="51">
        <v>46307.552083333336</v>
      </c>
      <c r="E266" t="s">
        <v>87</v>
      </c>
      <c r="F266" t="s">
        <v>48</v>
      </c>
      <c r="G266" t="s">
        <v>49</v>
      </c>
      <c r="H266" t="s">
        <v>75</v>
      </c>
      <c r="I266" t="s">
        <v>76</v>
      </c>
      <c r="J266" t="s">
        <v>70</v>
      </c>
      <c r="K266" t="s">
        <v>469</v>
      </c>
      <c r="L266" t="s">
        <v>470</v>
      </c>
      <c r="M266" t="s">
        <v>471</v>
      </c>
      <c r="N266">
        <v>15794816</v>
      </c>
      <c r="O266" t="s">
        <v>52</v>
      </c>
      <c r="P266" t="s">
        <v>472</v>
      </c>
    </row>
    <row r="267" spans="1:16" x14ac:dyDescent="0.3">
      <c r="A267" t="s">
        <v>2591</v>
      </c>
      <c r="B267" t="s">
        <v>62</v>
      </c>
      <c r="C267" s="51">
        <v>46309.541666666664</v>
      </c>
      <c r="D267" s="51">
        <v>46307.543749999997</v>
      </c>
      <c r="E267" t="s">
        <v>87</v>
      </c>
      <c r="F267" t="s">
        <v>53</v>
      </c>
      <c r="G267" t="s">
        <v>54</v>
      </c>
      <c r="H267" t="s">
        <v>63</v>
      </c>
      <c r="I267" t="s">
        <v>64</v>
      </c>
      <c r="J267" t="s">
        <v>65</v>
      </c>
      <c r="K267" t="s">
        <v>481</v>
      </c>
      <c r="L267" t="s">
        <v>470</v>
      </c>
      <c r="M267" t="s">
        <v>471</v>
      </c>
      <c r="O267" t="s">
        <v>52</v>
      </c>
      <c r="P267" t="s">
        <v>472</v>
      </c>
    </row>
    <row r="268" spans="1:16" x14ac:dyDescent="0.3">
      <c r="A268" t="s">
        <v>2592</v>
      </c>
      <c r="B268" t="s">
        <v>47</v>
      </c>
      <c r="C268" s="51">
        <v>46310.938194444447</v>
      </c>
      <c r="D268" s="51">
        <v>46307.541666666664</v>
      </c>
      <c r="E268" t="s">
        <v>87</v>
      </c>
      <c r="F268" t="s">
        <v>48</v>
      </c>
      <c r="G268" t="s">
        <v>49</v>
      </c>
      <c r="H268" t="s">
        <v>50</v>
      </c>
      <c r="I268" t="s">
        <v>66</v>
      </c>
      <c r="J268" t="s">
        <v>51</v>
      </c>
      <c r="K268" t="s">
        <v>469</v>
      </c>
      <c r="L268" t="s">
        <v>470</v>
      </c>
      <c r="M268" t="s">
        <v>471</v>
      </c>
      <c r="N268">
        <v>15794436</v>
      </c>
      <c r="O268" t="s">
        <v>52</v>
      </c>
      <c r="P268" t="s">
        <v>472</v>
      </c>
    </row>
    <row r="269" spans="1:16" x14ac:dyDescent="0.3">
      <c r="A269" t="s">
        <v>2593</v>
      </c>
      <c r="B269" t="s">
        <v>131</v>
      </c>
      <c r="C269" s="51">
        <v>46308.541666666664</v>
      </c>
      <c r="D269" s="51">
        <v>46307.535416666666</v>
      </c>
      <c r="E269" t="s">
        <v>87</v>
      </c>
      <c r="F269" t="s">
        <v>77</v>
      </c>
      <c r="G269" t="s">
        <v>132</v>
      </c>
      <c r="H269" t="s">
        <v>132</v>
      </c>
      <c r="I269" t="s">
        <v>84</v>
      </c>
      <c r="J269" t="s">
        <v>55</v>
      </c>
      <c r="K269" t="s">
        <v>487</v>
      </c>
      <c r="L269" t="s">
        <v>473</v>
      </c>
      <c r="M269" t="s">
        <v>478</v>
      </c>
      <c r="O269" t="s">
        <v>129</v>
      </c>
      <c r="P269" t="s">
        <v>474</v>
      </c>
    </row>
    <row r="270" spans="1:16" x14ac:dyDescent="0.3">
      <c r="A270" t="s">
        <v>2594</v>
      </c>
      <c r="B270" t="s">
        <v>62</v>
      </c>
      <c r="C270" s="51">
        <v>46309.541666666664</v>
      </c>
      <c r="D270" s="51">
        <v>46307.53125</v>
      </c>
      <c r="E270" t="s">
        <v>87</v>
      </c>
      <c r="F270" t="s">
        <v>53</v>
      </c>
      <c r="G270" t="s">
        <v>54</v>
      </c>
      <c r="H270" t="s">
        <v>63</v>
      </c>
      <c r="I270" t="s">
        <v>64</v>
      </c>
      <c r="J270" t="s">
        <v>65</v>
      </c>
      <c r="K270" t="s">
        <v>481</v>
      </c>
      <c r="L270" t="s">
        <v>470</v>
      </c>
      <c r="M270" t="s">
        <v>471</v>
      </c>
      <c r="O270" t="s">
        <v>52</v>
      </c>
      <c r="P270" t="s">
        <v>472</v>
      </c>
    </row>
    <row r="271" spans="1:16" x14ac:dyDescent="0.3">
      <c r="A271" t="s">
        <v>2595</v>
      </c>
      <c r="B271" t="s">
        <v>155</v>
      </c>
      <c r="C271" s="51">
        <v>46310.938194444447</v>
      </c>
      <c r="D271" s="51">
        <v>46307.53125</v>
      </c>
      <c r="E271" t="s">
        <v>87</v>
      </c>
      <c r="F271" t="s">
        <v>53</v>
      </c>
      <c r="G271" t="s">
        <v>85</v>
      </c>
      <c r="H271" t="s">
        <v>156</v>
      </c>
      <c r="I271" t="s">
        <v>157</v>
      </c>
      <c r="J271" t="s">
        <v>70</v>
      </c>
      <c r="K271" t="s">
        <v>469</v>
      </c>
      <c r="L271" t="s">
        <v>470</v>
      </c>
      <c r="M271" t="s">
        <v>471</v>
      </c>
      <c r="N271">
        <v>15794424</v>
      </c>
      <c r="O271" t="s">
        <v>52</v>
      </c>
      <c r="P271" t="s">
        <v>472</v>
      </c>
    </row>
    <row r="272" spans="1:16" x14ac:dyDescent="0.3">
      <c r="A272" t="s">
        <v>2596</v>
      </c>
      <c r="B272" t="s">
        <v>62</v>
      </c>
      <c r="C272" s="51">
        <v>46309.5</v>
      </c>
      <c r="D272" s="51">
        <v>46307.529166666667</v>
      </c>
      <c r="E272" t="s">
        <v>87</v>
      </c>
      <c r="F272" t="s">
        <v>53</v>
      </c>
      <c r="G272" t="s">
        <v>54</v>
      </c>
      <c r="H272" t="s">
        <v>63</v>
      </c>
      <c r="I272" t="s">
        <v>64</v>
      </c>
      <c r="J272" t="s">
        <v>65</v>
      </c>
      <c r="K272" t="s">
        <v>481</v>
      </c>
      <c r="L272" t="s">
        <v>470</v>
      </c>
      <c r="M272" t="s">
        <v>471</v>
      </c>
      <c r="O272" t="s">
        <v>52</v>
      </c>
      <c r="P272" t="s">
        <v>472</v>
      </c>
    </row>
    <row r="273" spans="1:16" x14ac:dyDescent="0.3">
      <c r="A273" t="s">
        <v>2597</v>
      </c>
      <c r="B273" t="s">
        <v>74</v>
      </c>
      <c r="C273" s="51">
        <v>46310.938194444447</v>
      </c>
      <c r="D273" s="51">
        <v>46307.529166666667</v>
      </c>
      <c r="E273" t="s">
        <v>87</v>
      </c>
      <c r="F273" t="s">
        <v>48</v>
      </c>
      <c r="G273" t="s">
        <v>49</v>
      </c>
      <c r="H273" t="s">
        <v>75</v>
      </c>
      <c r="I273" t="s">
        <v>76</v>
      </c>
      <c r="J273" t="s">
        <v>70</v>
      </c>
      <c r="K273" t="s">
        <v>469</v>
      </c>
      <c r="L273" t="s">
        <v>470</v>
      </c>
      <c r="M273" t="s">
        <v>471</v>
      </c>
      <c r="N273">
        <v>15794410</v>
      </c>
      <c r="O273" t="s">
        <v>52</v>
      </c>
      <c r="P273" t="s">
        <v>472</v>
      </c>
    </row>
    <row r="274" spans="1:16" x14ac:dyDescent="0.3">
      <c r="A274" t="s">
        <v>2598</v>
      </c>
      <c r="B274" t="s">
        <v>62</v>
      </c>
      <c r="C274" s="51">
        <v>46309.5</v>
      </c>
      <c r="D274" s="51">
        <v>46307.511805555558</v>
      </c>
      <c r="E274" t="s">
        <v>87</v>
      </c>
      <c r="F274" t="s">
        <v>53</v>
      </c>
      <c r="G274" t="s">
        <v>54</v>
      </c>
      <c r="H274" t="s">
        <v>63</v>
      </c>
      <c r="I274" t="s">
        <v>64</v>
      </c>
      <c r="J274" t="s">
        <v>65</v>
      </c>
      <c r="K274" t="s">
        <v>481</v>
      </c>
      <c r="L274" t="s">
        <v>470</v>
      </c>
      <c r="M274" t="s">
        <v>471</v>
      </c>
      <c r="O274" t="s">
        <v>52</v>
      </c>
      <c r="P274" t="s">
        <v>472</v>
      </c>
    </row>
    <row r="275" spans="1:16" x14ac:dyDescent="0.3">
      <c r="A275" t="s">
        <v>2599</v>
      </c>
      <c r="B275" t="s">
        <v>62</v>
      </c>
      <c r="C275" s="51">
        <v>46309.5</v>
      </c>
      <c r="D275" s="51">
        <v>46307.511805555558</v>
      </c>
      <c r="E275" t="s">
        <v>87</v>
      </c>
      <c r="F275" t="s">
        <v>53</v>
      </c>
      <c r="G275" t="s">
        <v>54</v>
      </c>
      <c r="H275" t="s">
        <v>63</v>
      </c>
      <c r="I275" t="s">
        <v>64</v>
      </c>
      <c r="J275" t="s">
        <v>65</v>
      </c>
      <c r="K275" t="s">
        <v>481</v>
      </c>
      <c r="L275" t="s">
        <v>470</v>
      </c>
      <c r="M275" t="s">
        <v>471</v>
      </c>
      <c r="O275" t="s">
        <v>52</v>
      </c>
      <c r="P275" t="s">
        <v>472</v>
      </c>
    </row>
    <row r="276" spans="1:16" x14ac:dyDescent="0.3">
      <c r="A276" t="s">
        <v>2600</v>
      </c>
      <c r="B276" t="s">
        <v>62</v>
      </c>
      <c r="C276" s="51">
        <v>46309.5</v>
      </c>
      <c r="D276" s="51">
        <v>46307.511805555558</v>
      </c>
      <c r="E276" t="s">
        <v>87</v>
      </c>
      <c r="F276" t="s">
        <v>53</v>
      </c>
      <c r="G276" t="s">
        <v>54</v>
      </c>
      <c r="H276" t="s">
        <v>63</v>
      </c>
      <c r="I276" t="s">
        <v>64</v>
      </c>
      <c r="J276" t="s">
        <v>65</v>
      </c>
      <c r="K276" t="s">
        <v>481</v>
      </c>
      <c r="L276" t="s">
        <v>470</v>
      </c>
      <c r="M276" t="s">
        <v>471</v>
      </c>
      <c r="O276" t="s">
        <v>52</v>
      </c>
      <c r="P276" t="s">
        <v>472</v>
      </c>
    </row>
    <row r="277" spans="1:16" x14ac:dyDescent="0.3">
      <c r="A277" t="s">
        <v>2601</v>
      </c>
      <c r="B277" t="s">
        <v>67</v>
      </c>
      <c r="C277" s="51">
        <v>46309.938194444447</v>
      </c>
      <c r="D277" s="51">
        <v>46307.511805555558</v>
      </c>
      <c r="E277" t="s">
        <v>87</v>
      </c>
      <c r="F277" t="s">
        <v>48</v>
      </c>
      <c r="G277" t="s">
        <v>49</v>
      </c>
      <c r="H277" t="s">
        <v>68</v>
      </c>
      <c r="I277" t="s">
        <v>69</v>
      </c>
      <c r="J277" t="s">
        <v>70</v>
      </c>
      <c r="K277" t="s">
        <v>469</v>
      </c>
      <c r="L277" t="s">
        <v>470</v>
      </c>
      <c r="M277" t="s">
        <v>471</v>
      </c>
      <c r="N277">
        <v>15794230</v>
      </c>
      <c r="O277" t="s">
        <v>52</v>
      </c>
      <c r="P277" t="s">
        <v>472</v>
      </c>
    </row>
    <row r="278" spans="1:16" x14ac:dyDescent="0.3">
      <c r="A278" t="s">
        <v>2602</v>
      </c>
      <c r="B278" t="s">
        <v>67</v>
      </c>
      <c r="C278" s="51">
        <v>46309.541666666664</v>
      </c>
      <c r="D278" s="51">
        <v>46307.511805555558</v>
      </c>
      <c r="E278" t="s">
        <v>87</v>
      </c>
      <c r="F278" t="s">
        <v>48</v>
      </c>
      <c r="G278" t="s">
        <v>49</v>
      </c>
      <c r="H278" t="s">
        <v>68</v>
      </c>
      <c r="I278" t="s">
        <v>69</v>
      </c>
      <c r="J278" t="s">
        <v>70</v>
      </c>
      <c r="K278" t="s">
        <v>469</v>
      </c>
      <c r="L278" t="s">
        <v>470</v>
      </c>
      <c r="M278" t="s">
        <v>471</v>
      </c>
      <c r="N278">
        <v>15794394</v>
      </c>
      <c r="O278" t="s">
        <v>52</v>
      </c>
      <c r="P278" t="s">
        <v>472</v>
      </c>
    </row>
    <row r="279" spans="1:16" x14ac:dyDescent="0.3">
      <c r="A279" t="s">
        <v>2603</v>
      </c>
      <c r="B279" t="s">
        <v>74</v>
      </c>
      <c r="C279" s="51">
        <v>46309.938194444447</v>
      </c>
      <c r="D279" s="51">
        <v>46307.511805555558</v>
      </c>
      <c r="E279" t="s">
        <v>87</v>
      </c>
      <c r="F279" t="s">
        <v>48</v>
      </c>
      <c r="G279" t="s">
        <v>49</v>
      </c>
      <c r="H279" t="s">
        <v>75</v>
      </c>
      <c r="I279" t="s">
        <v>76</v>
      </c>
      <c r="J279" t="s">
        <v>70</v>
      </c>
      <c r="K279" t="s">
        <v>469</v>
      </c>
      <c r="L279" t="s">
        <v>470</v>
      </c>
      <c r="M279" t="s">
        <v>471</v>
      </c>
      <c r="N279">
        <v>15794396</v>
      </c>
      <c r="O279" t="s">
        <v>52</v>
      </c>
      <c r="P279" t="s">
        <v>472</v>
      </c>
    </row>
    <row r="280" spans="1:16" x14ac:dyDescent="0.3">
      <c r="A280" t="s">
        <v>2604</v>
      </c>
      <c r="B280" t="s">
        <v>62</v>
      </c>
      <c r="C280" s="51">
        <v>46309.5</v>
      </c>
      <c r="D280" s="51">
        <v>46307.508333333331</v>
      </c>
      <c r="E280" t="s">
        <v>87</v>
      </c>
      <c r="F280" t="s">
        <v>53</v>
      </c>
      <c r="G280" t="s">
        <v>54</v>
      </c>
      <c r="H280" t="s">
        <v>63</v>
      </c>
      <c r="I280" t="s">
        <v>64</v>
      </c>
      <c r="J280" t="s">
        <v>65</v>
      </c>
      <c r="K280" t="s">
        <v>481</v>
      </c>
      <c r="L280" t="s">
        <v>470</v>
      </c>
      <c r="M280" t="s">
        <v>471</v>
      </c>
      <c r="O280" t="s">
        <v>52</v>
      </c>
      <c r="P280" t="s">
        <v>472</v>
      </c>
    </row>
    <row r="281" spans="1:16" x14ac:dyDescent="0.3">
      <c r="A281" t="s">
        <v>2605</v>
      </c>
      <c r="B281" t="s">
        <v>67</v>
      </c>
      <c r="C281" s="51">
        <v>46310.938194444447</v>
      </c>
      <c r="D281" s="51">
        <v>46307.508333333331</v>
      </c>
      <c r="E281" t="s">
        <v>87</v>
      </c>
      <c r="F281" t="s">
        <v>48</v>
      </c>
      <c r="G281" t="s">
        <v>49</v>
      </c>
      <c r="H281" t="s">
        <v>68</v>
      </c>
      <c r="I281" t="s">
        <v>69</v>
      </c>
      <c r="J281" t="s">
        <v>70</v>
      </c>
      <c r="K281" t="s">
        <v>469</v>
      </c>
      <c r="L281" t="s">
        <v>470</v>
      </c>
      <c r="M281" t="s">
        <v>471</v>
      </c>
      <c r="N281">
        <v>15794196</v>
      </c>
      <c r="O281" t="s">
        <v>52</v>
      </c>
      <c r="P281" t="s">
        <v>472</v>
      </c>
    </row>
    <row r="282" spans="1:16" x14ac:dyDescent="0.3">
      <c r="A282" t="s">
        <v>2606</v>
      </c>
      <c r="B282" t="s">
        <v>108</v>
      </c>
      <c r="C282" s="51">
        <v>46308.541666666664</v>
      </c>
      <c r="D282" s="51">
        <v>46307.504166666666</v>
      </c>
      <c r="E282" t="s">
        <v>87</v>
      </c>
      <c r="F282" t="s">
        <v>77</v>
      </c>
      <c r="G282" t="s">
        <v>107</v>
      </c>
      <c r="H282" t="s">
        <v>109</v>
      </c>
      <c r="I282" t="s">
        <v>122</v>
      </c>
      <c r="J282" t="s">
        <v>123</v>
      </c>
      <c r="K282" t="s">
        <v>475</v>
      </c>
      <c r="L282" t="s">
        <v>473</v>
      </c>
      <c r="M282" t="s">
        <v>480</v>
      </c>
      <c r="O282" t="s">
        <v>503</v>
      </c>
      <c r="P282" t="s">
        <v>474</v>
      </c>
    </row>
    <row r="283" spans="1:16" x14ac:dyDescent="0.3">
      <c r="A283" t="s">
        <v>2607</v>
      </c>
      <c r="B283" t="s">
        <v>131</v>
      </c>
      <c r="C283" s="51">
        <v>46310.427777777775</v>
      </c>
      <c r="D283" s="51">
        <v>46307.50277777778</v>
      </c>
      <c r="E283" t="s">
        <v>87</v>
      </c>
      <c r="F283" t="s">
        <v>77</v>
      </c>
      <c r="G283" t="s">
        <v>132</v>
      </c>
      <c r="H283" t="s">
        <v>132</v>
      </c>
      <c r="I283" t="s">
        <v>84</v>
      </c>
      <c r="J283" t="s">
        <v>55</v>
      </c>
      <c r="K283" t="s">
        <v>487</v>
      </c>
      <c r="L283" t="s">
        <v>473</v>
      </c>
      <c r="M283" t="s">
        <v>2608</v>
      </c>
      <c r="O283" t="s">
        <v>56</v>
      </c>
      <c r="P283" t="s">
        <v>474</v>
      </c>
    </row>
    <row r="284" spans="1:16" x14ac:dyDescent="0.3">
      <c r="A284" t="s">
        <v>2609</v>
      </c>
      <c r="B284" t="s">
        <v>108</v>
      </c>
      <c r="C284" s="51">
        <v>46308.541666666664</v>
      </c>
      <c r="D284" s="51">
        <v>46307.502083333333</v>
      </c>
      <c r="E284" t="s">
        <v>87</v>
      </c>
      <c r="F284" t="s">
        <v>77</v>
      </c>
      <c r="G284" t="s">
        <v>107</v>
      </c>
      <c r="H284" t="s">
        <v>109</v>
      </c>
      <c r="I284" t="s">
        <v>122</v>
      </c>
      <c r="J284" t="s">
        <v>123</v>
      </c>
      <c r="K284" t="s">
        <v>475</v>
      </c>
      <c r="L284" t="s">
        <v>473</v>
      </c>
      <c r="M284">
        <v>0</v>
      </c>
      <c r="O284" t="s">
        <v>503</v>
      </c>
      <c r="P284" t="s">
        <v>474</v>
      </c>
    </row>
    <row r="285" spans="1:16" x14ac:dyDescent="0.3">
      <c r="A285" t="s">
        <v>2610</v>
      </c>
      <c r="B285" t="s">
        <v>62</v>
      </c>
      <c r="C285" s="51">
        <v>46309.5</v>
      </c>
      <c r="D285" s="51">
        <v>46307.479861111111</v>
      </c>
      <c r="E285" t="s">
        <v>87</v>
      </c>
      <c r="F285" t="s">
        <v>53</v>
      </c>
      <c r="G285" t="s">
        <v>54</v>
      </c>
      <c r="H285" t="s">
        <v>63</v>
      </c>
      <c r="I285" t="s">
        <v>64</v>
      </c>
      <c r="J285" t="s">
        <v>65</v>
      </c>
      <c r="K285" t="s">
        <v>481</v>
      </c>
      <c r="L285" t="s">
        <v>470</v>
      </c>
      <c r="M285" t="s">
        <v>471</v>
      </c>
      <c r="O285" t="s">
        <v>52</v>
      </c>
      <c r="P285" t="s">
        <v>472</v>
      </c>
    </row>
    <row r="286" spans="1:16" x14ac:dyDescent="0.3">
      <c r="A286" t="s">
        <v>2611</v>
      </c>
      <c r="B286" t="s">
        <v>108</v>
      </c>
      <c r="C286" s="51">
        <v>46308.5</v>
      </c>
      <c r="D286" s="51">
        <v>46307.479861111111</v>
      </c>
      <c r="E286" t="s">
        <v>87</v>
      </c>
      <c r="F286" t="s">
        <v>77</v>
      </c>
      <c r="G286" t="s">
        <v>107</v>
      </c>
      <c r="H286" t="s">
        <v>109</v>
      </c>
      <c r="I286" t="s">
        <v>122</v>
      </c>
      <c r="J286" t="s">
        <v>123</v>
      </c>
      <c r="K286" t="s">
        <v>475</v>
      </c>
      <c r="L286" t="s">
        <v>473</v>
      </c>
      <c r="M286" t="s">
        <v>476</v>
      </c>
      <c r="O286" t="s">
        <v>56</v>
      </c>
      <c r="P286" t="s">
        <v>474</v>
      </c>
    </row>
    <row r="287" spans="1:16" x14ac:dyDescent="0.3">
      <c r="A287" t="s">
        <v>2612</v>
      </c>
      <c r="B287" t="s">
        <v>67</v>
      </c>
      <c r="C287" s="51">
        <v>46309.938194444447</v>
      </c>
      <c r="D287" s="51">
        <v>46307.479166666664</v>
      </c>
      <c r="E287" t="s">
        <v>87</v>
      </c>
      <c r="F287" t="s">
        <v>48</v>
      </c>
      <c r="G287" t="s">
        <v>49</v>
      </c>
      <c r="H287" t="s">
        <v>68</v>
      </c>
      <c r="I287" t="s">
        <v>69</v>
      </c>
      <c r="J287" t="s">
        <v>70</v>
      </c>
      <c r="K287" t="s">
        <v>469</v>
      </c>
      <c r="L287" t="s">
        <v>470</v>
      </c>
      <c r="M287" t="s">
        <v>471</v>
      </c>
      <c r="N287">
        <v>15794032</v>
      </c>
      <c r="O287" t="s">
        <v>52</v>
      </c>
      <c r="P287" t="s">
        <v>472</v>
      </c>
    </row>
    <row r="288" spans="1:16" x14ac:dyDescent="0.3">
      <c r="A288" t="s">
        <v>2613</v>
      </c>
      <c r="B288" t="s">
        <v>62</v>
      </c>
      <c r="C288" s="51">
        <v>46309.458333333336</v>
      </c>
      <c r="D288" s="51">
        <v>46307.477777777778</v>
      </c>
      <c r="E288" t="s">
        <v>87</v>
      </c>
      <c r="F288" t="s">
        <v>53</v>
      </c>
      <c r="G288" t="s">
        <v>54</v>
      </c>
      <c r="H288" t="s">
        <v>63</v>
      </c>
      <c r="I288" t="s">
        <v>64</v>
      </c>
      <c r="J288" t="s">
        <v>65</v>
      </c>
      <c r="K288" t="s">
        <v>481</v>
      </c>
      <c r="L288" t="s">
        <v>470</v>
      </c>
      <c r="M288" t="s">
        <v>471</v>
      </c>
      <c r="O288" t="s">
        <v>52</v>
      </c>
      <c r="P288" t="s">
        <v>472</v>
      </c>
    </row>
    <row r="289" spans="1:16" x14ac:dyDescent="0.3">
      <c r="A289" t="s">
        <v>2614</v>
      </c>
      <c r="B289" t="s">
        <v>62</v>
      </c>
      <c r="C289" s="51">
        <v>46309.458333333336</v>
      </c>
      <c r="D289" s="51">
        <v>46307.477777777778</v>
      </c>
      <c r="E289" t="s">
        <v>87</v>
      </c>
      <c r="F289" t="s">
        <v>53</v>
      </c>
      <c r="G289" t="s">
        <v>54</v>
      </c>
      <c r="H289" t="s">
        <v>63</v>
      </c>
      <c r="I289" t="s">
        <v>64</v>
      </c>
      <c r="J289" t="s">
        <v>65</v>
      </c>
      <c r="K289" t="s">
        <v>481</v>
      </c>
      <c r="L289" t="s">
        <v>470</v>
      </c>
      <c r="M289" t="s">
        <v>471</v>
      </c>
      <c r="O289" t="s">
        <v>52</v>
      </c>
      <c r="P289" t="s">
        <v>472</v>
      </c>
    </row>
    <row r="290" spans="1:16" x14ac:dyDescent="0.3">
      <c r="A290" t="s">
        <v>2615</v>
      </c>
      <c r="B290" t="s">
        <v>71</v>
      </c>
      <c r="C290" s="51">
        <v>46309.9375</v>
      </c>
      <c r="D290" s="51">
        <v>46307.476388888892</v>
      </c>
      <c r="E290" t="s">
        <v>87</v>
      </c>
      <c r="F290" t="s">
        <v>48</v>
      </c>
      <c r="G290" t="s">
        <v>49</v>
      </c>
      <c r="H290" t="s">
        <v>72</v>
      </c>
      <c r="I290" t="s">
        <v>73</v>
      </c>
      <c r="J290" t="s">
        <v>70</v>
      </c>
      <c r="K290" t="s">
        <v>469</v>
      </c>
      <c r="L290" t="s">
        <v>470</v>
      </c>
      <c r="M290" t="s">
        <v>471</v>
      </c>
      <c r="N290">
        <v>15790800</v>
      </c>
      <c r="O290" t="s">
        <v>52</v>
      </c>
      <c r="P290" t="s">
        <v>472</v>
      </c>
    </row>
    <row r="291" spans="1:16" x14ac:dyDescent="0.3">
      <c r="A291" t="s">
        <v>2616</v>
      </c>
      <c r="B291" t="s">
        <v>113</v>
      </c>
      <c r="C291" s="51">
        <v>46311.938194444447</v>
      </c>
      <c r="D291" s="51">
        <v>46307.476388888892</v>
      </c>
      <c r="E291" t="s">
        <v>87</v>
      </c>
      <c r="F291" t="s">
        <v>48</v>
      </c>
      <c r="G291" t="s">
        <v>49</v>
      </c>
      <c r="H291" t="s">
        <v>114</v>
      </c>
      <c r="I291" t="s">
        <v>115</v>
      </c>
      <c r="J291" t="s">
        <v>116</v>
      </c>
      <c r="K291" t="s">
        <v>469</v>
      </c>
      <c r="L291" t="s">
        <v>470</v>
      </c>
      <c r="M291" t="s">
        <v>471</v>
      </c>
      <c r="N291">
        <v>15790802</v>
      </c>
      <c r="O291" t="s">
        <v>52</v>
      </c>
      <c r="P291" t="s">
        <v>472</v>
      </c>
    </row>
    <row r="292" spans="1:16" x14ac:dyDescent="0.3">
      <c r="A292" t="s">
        <v>2617</v>
      </c>
      <c r="B292" t="s">
        <v>62</v>
      </c>
      <c r="C292" s="51">
        <v>46309.458333333336</v>
      </c>
      <c r="D292" s="51">
        <v>46307.474305555559</v>
      </c>
      <c r="E292" t="s">
        <v>87</v>
      </c>
      <c r="F292" t="s">
        <v>53</v>
      </c>
      <c r="G292" t="s">
        <v>54</v>
      </c>
      <c r="H292" t="s">
        <v>63</v>
      </c>
      <c r="I292" t="s">
        <v>64</v>
      </c>
      <c r="J292" t="s">
        <v>65</v>
      </c>
      <c r="K292" t="s">
        <v>481</v>
      </c>
      <c r="L292" t="s">
        <v>470</v>
      </c>
      <c r="M292" t="s">
        <v>471</v>
      </c>
      <c r="O292" t="s">
        <v>52</v>
      </c>
      <c r="P292" t="s">
        <v>472</v>
      </c>
    </row>
    <row r="293" spans="1:16" x14ac:dyDescent="0.3">
      <c r="A293" t="s">
        <v>2618</v>
      </c>
      <c r="B293" t="s">
        <v>67</v>
      </c>
      <c r="C293" s="51">
        <v>46311.938194444447</v>
      </c>
      <c r="D293" s="51">
        <v>46307.474305555559</v>
      </c>
      <c r="E293" t="s">
        <v>87</v>
      </c>
      <c r="F293" t="s">
        <v>48</v>
      </c>
      <c r="G293" t="s">
        <v>49</v>
      </c>
      <c r="H293" t="s">
        <v>68</v>
      </c>
      <c r="I293" t="s">
        <v>69</v>
      </c>
      <c r="J293" t="s">
        <v>70</v>
      </c>
      <c r="K293" t="s">
        <v>469</v>
      </c>
      <c r="L293" t="s">
        <v>470</v>
      </c>
      <c r="M293" t="s">
        <v>471</v>
      </c>
      <c r="N293">
        <v>15794014</v>
      </c>
      <c r="O293" t="s">
        <v>52</v>
      </c>
      <c r="P293" t="s">
        <v>472</v>
      </c>
    </row>
    <row r="294" spans="1:16" x14ac:dyDescent="0.3">
      <c r="A294" t="s">
        <v>2619</v>
      </c>
      <c r="B294" t="s">
        <v>47</v>
      </c>
      <c r="C294" s="51">
        <v>46308.916666666664</v>
      </c>
      <c r="D294" s="51">
        <v>46307.470833333333</v>
      </c>
      <c r="E294" t="s">
        <v>87</v>
      </c>
      <c r="F294" t="s">
        <v>48</v>
      </c>
      <c r="G294" t="s">
        <v>49</v>
      </c>
      <c r="H294" t="s">
        <v>50</v>
      </c>
      <c r="I294" t="s">
        <v>92</v>
      </c>
      <c r="J294" t="s">
        <v>51</v>
      </c>
      <c r="K294" t="s">
        <v>469</v>
      </c>
      <c r="L294" t="s">
        <v>470</v>
      </c>
      <c r="M294" t="s">
        <v>471</v>
      </c>
      <c r="O294" t="s">
        <v>52</v>
      </c>
      <c r="P294" t="s">
        <v>472</v>
      </c>
    </row>
    <row r="295" spans="1:16" x14ac:dyDescent="0.3">
      <c r="A295" t="s">
        <v>2620</v>
      </c>
      <c r="B295" t="s">
        <v>47</v>
      </c>
      <c r="C295" s="51">
        <v>46308.916666666664</v>
      </c>
      <c r="D295" s="51">
        <v>46307.470833333333</v>
      </c>
      <c r="E295" t="s">
        <v>87</v>
      </c>
      <c r="F295" t="s">
        <v>48</v>
      </c>
      <c r="G295" t="s">
        <v>49</v>
      </c>
      <c r="H295" t="s">
        <v>50</v>
      </c>
      <c r="I295" t="s">
        <v>92</v>
      </c>
      <c r="J295" t="s">
        <v>51</v>
      </c>
      <c r="K295" t="s">
        <v>469</v>
      </c>
      <c r="L295" t="s">
        <v>470</v>
      </c>
      <c r="M295" t="s">
        <v>471</v>
      </c>
      <c r="O295" t="s">
        <v>52</v>
      </c>
      <c r="P295" t="s">
        <v>472</v>
      </c>
    </row>
    <row r="296" spans="1:16" x14ac:dyDescent="0.3">
      <c r="A296" t="s">
        <v>2621</v>
      </c>
      <c r="B296" t="s">
        <v>62</v>
      </c>
      <c r="C296" s="51">
        <v>46309.416666666664</v>
      </c>
      <c r="D296" s="51">
        <v>46307.461111111108</v>
      </c>
      <c r="E296" t="s">
        <v>87</v>
      </c>
      <c r="F296" t="s">
        <v>53</v>
      </c>
      <c r="G296" t="s">
        <v>54</v>
      </c>
      <c r="H296" t="s">
        <v>63</v>
      </c>
      <c r="I296" t="s">
        <v>64</v>
      </c>
      <c r="J296" t="s">
        <v>65</v>
      </c>
      <c r="K296" t="s">
        <v>481</v>
      </c>
      <c r="L296" t="s">
        <v>470</v>
      </c>
      <c r="M296" t="s">
        <v>471</v>
      </c>
      <c r="O296" t="s">
        <v>52</v>
      </c>
      <c r="P296" t="s">
        <v>472</v>
      </c>
    </row>
    <row r="297" spans="1:16" x14ac:dyDescent="0.3">
      <c r="A297" t="s">
        <v>2622</v>
      </c>
      <c r="B297" t="s">
        <v>67</v>
      </c>
      <c r="C297" s="51">
        <v>46311.938194444447</v>
      </c>
      <c r="D297" s="51">
        <v>46307.461111111108</v>
      </c>
      <c r="E297" t="s">
        <v>87</v>
      </c>
      <c r="F297" t="s">
        <v>48</v>
      </c>
      <c r="G297" t="s">
        <v>49</v>
      </c>
      <c r="H297" t="s">
        <v>68</v>
      </c>
      <c r="I297" t="s">
        <v>69</v>
      </c>
      <c r="J297" t="s">
        <v>70</v>
      </c>
      <c r="K297" t="s">
        <v>469</v>
      </c>
      <c r="L297" t="s">
        <v>470</v>
      </c>
      <c r="M297" t="s">
        <v>471</v>
      </c>
      <c r="N297">
        <v>15793394</v>
      </c>
      <c r="O297" t="s">
        <v>52</v>
      </c>
      <c r="P297" t="s">
        <v>472</v>
      </c>
    </row>
    <row r="298" spans="1:16" x14ac:dyDescent="0.3">
      <c r="A298" t="s">
        <v>2623</v>
      </c>
      <c r="B298" t="s">
        <v>67</v>
      </c>
      <c r="C298" s="51">
        <v>46308.916666666664</v>
      </c>
      <c r="D298" s="51">
        <v>46307.449305555558</v>
      </c>
      <c r="E298" t="s">
        <v>87</v>
      </c>
      <c r="F298" t="s">
        <v>48</v>
      </c>
      <c r="G298" t="s">
        <v>49</v>
      </c>
      <c r="H298" t="s">
        <v>68</v>
      </c>
      <c r="I298" t="s">
        <v>69</v>
      </c>
      <c r="J298" t="s">
        <v>70</v>
      </c>
      <c r="K298" t="s">
        <v>469</v>
      </c>
      <c r="L298" t="s">
        <v>470</v>
      </c>
      <c r="M298" t="s">
        <v>471</v>
      </c>
      <c r="O298" t="s">
        <v>52</v>
      </c>
      <c r="P298" t="s">
        <v>472</v>
      </c>
    </row>
    <row r="299" spans="1:16" x14ac:dyDescent="0.3">
      <c r="A299" t="s">
        <v>2624</v>
      </c>
      <c r="B299" t="s">
        <v>67</v>
      </c>
      <c r="C299" s="51">
        <v>46311.9375</v>
      </c>
      <c r="D299" s="51">
        <v>46307.447916666664</v>
      </c>
      <c r="E299" t="s">
        <v>87</v>
      </c>
      <c r="F299" t="s">
        <v>48</v>
      </c>
      <c r="G299" t="s">
        <v>49</v>
      </c>
      <c r="H299" t="s">
        <v>68</v>
      </c>
      <c r="I299" t="s">
        <v>69</v>
      </c>
      <c r="J299" t="s">
        <v>70</v>
      </c>
      <c r="K299" t="s">
        <v>469</v>
      </c>
      <c r="L299" t="s">
        <v>470</v>
      </c>
      <c r="M299" t="s">
        <v>471</v>
      </c>
      <c r="N299">
        <v>15790804</v>
      </c>
      <c r="O299" t="s">
        <v>52</v>
      </c>
      <c r="P299" t="s">
        <v>472</v>
      </c>
    </row>
    <row r="300" spans="1:16" x14ac:dyDescent="0.3">
      <c r="A300" t="s">
        <v>2625</v>
      </c>
      <c r="B300" t="s">
        <v>108</v>
      </c>
      <c r="C300" s="51">
        <v>46308.458333333336</v>
      </c>
      <c r="D300" s="51">
        <v>46307.445833333331</v>
      </c>
      <c r="E300" t="s">
        <v>87</v>
      </c>
      <c r="F300" t="s">
        <v>77</v>
      </c>
      <c r="G300" t="s">
        <v>107</v>
      </c>
      <c r="H300" t="s">
        <v>109</v>
      </c>
      <c r="I300" t="s">
        <v>122</v>
      </c>
      <c r="J300" t="s">
        <v>123</v>
      </c>
      <c r="K300" t="s">
        <v>475</v>
      </c>
      <c r="L300" t="s">
        <v>473</v>
      </c>
      <c r="M300">
        <v>111111</v>
      </c>
      <c r="O300" t="s">
        <v>503</v>
      </c>
      <c r="P300" t="s">
        <v>474</v>
      </c>
    </row>
    <row r="301" spans="1:16" x14ac:dyDescent="0.3">
      <c r="A301" t="s">
        <v>2626</v>
      </c>
      <c r="B301" t="s">
        <v>131</v>
      </c>
      <c r="C301" s="51">
        <v>46309.552777777775</v>
      </c>
      <c r="D301" s="51">
        <v>46307.444444444445</v>
      </c>
      <c r="E301" t="s">
        <v>87</v>
      </c>
      <c r="F301" t="s">
        <v>77</v>
      </c>
      <c r="G301" t="s">
        <v>132</v>
      </c>
      <c r="H301" t="s">
        <v>132</v>
      </c>
      <c r="I301" t="s">
        <v>84</v>
      </c>
      <c r="J301" t="s">
        <v>55</v>
      </c>
      <c r="K301" t="s">
        <v>487</v>
      </c>
      <c r="L301" t="s">
        <v>473</v>
      </c>
      <c r="M301" t="s">
        <v>476</v>
      </c>
      <c r="O301" t="s">
        <v>56</v>
      </c>
      <c r="P301" t="s">
        <v>474</v>
      </c>
    </row>
    <row r="302" spans="1:16" x14ac:dyDescent="0.3">
      <c r="A302" t="s">
        <v>2627</v>
      </c>
      <c r="B302" t="s">
        <v>62</v>
      </c>
      <c r="C302" s="51">
        <v>46309.416666666664</v>
      </c>
      <c r="D302" s="51">
        <v>46307.4375</v>
      </c>
      <c r="E302" t="s">
        <v>87</v>
      </c>
      <c r="F302" t="s">
        <v>53</v>
      </c>
      <c r="G302" t="s">
        <v>54</v>
      </c>
      <c r="H302" t="s">
        <v>63</v>
      </c>
      <c r="I302" t="s">
        <v>64</v>
      </c>
      <c r="J302" t="s">
        <v>65</v>
      </c>
      <c r="K302" t="s">
        <v>481</v>
      </c>
      <c r="L302" t="s">
        <v>470</v>
      </c>
      <c r="M302" t="s">
        <v>471</v>
      </c>
      <c r="O302" t="s">
        <v>52</v>
      </c>
      <c r="P302" t="s">
        <v>472</v>
      </c>
    </row>
    <row r="303" spans="1:16" x14ac:dyDescent="0.3">
      <c r="A303" t="s">
        <v>2628</v>
      </c>
      <c r="B303" t="s">
        <v>74</v>
      </c>
      <c r="C303" s="51">
        <v>46310.938194444447</v>
      </c>
      <c r="D303" s="51">
        <v>46307.436805555553</v>
      </c>
      <c r="E303" t="s">
        <v>87</v>
      </c>
      <c r="F303" t="s">
        <v>48</v>
      </c>
      <c r="G303" t="s">
        <v>49</v>
      </c>
      <c r="H303" t="s">
        <v>75</v>
      </c>
      <c r="I303" t="s">
        <v>76</v>
      </c>
      <c r="J303" t="s">
        <v>70</v>
      </c>
      <c r="K303" t="s">
        <v>469</v>
      </c>
      <c r="L303" t="s">
        <v>470</v>
      </c>
      <c r="M303" t="s">
        <v>471</v>
      </c>
      <c r="N303">
        <v>15793274</v>
      </c>
      <c r="O303" t="s">
        <v>52</v>
      </c>
      <c r="P303" t="s">
        <v>472</v>
      </c>
    </row>
    <row r="304" spans="1:16" x14ac:dyDescent="0.3">
      <c r="A304" t="s">
        <v>2629</v>
      </c>
      <c r="B304" t="s">
        <v>108</v>
      </c>
      <c r="C304" s="51">
        <v>46308.458333333336</v>
      </c>
      <c r="D304" s="51">
        <v>46307.427777777775</v>
      </c>
      <c r="E304" t="s">
        <v>87</v>
      </c>
      <c r="F304" t="s">
        <v>77</v>
      </c>
      <c r="G304" t="s">
        <v>107</v>
      </c>
      <c r="H304" t="s">
        <v>109</v>
      </c>
      <c r="I304" t="s">
        <v>122</v>
      </c>
      <c r="J304" t="s">
        <v>123</v>
      </c>
      <c r="K304" t="s">
        <v>475</v>
      </c>
      <c r="L304" t="s">
        <v>473</v>
      </c>
      <c r="M304" t="s">
        <v>2630</v>
      </c>
      <c r="O304" t="s">
        <v>56</v>
      </c>
      <c r="P304" t="s">
        <v>474</v>
      </c>
    </row>
    <row r="305" spans="1:16" x14ac:dyDescent="0.3">
      <c r="A305" t="s">
        <v>2631</v>
      </c>
      <c r="B305" t="s">
        <v>62</v>
      </c>
      <c r="C305" s="51">
        <v>46309.416666666664</v>
      </c>
      <c r="D305" s="51">
        <v>46307.413194444445</v>
      </c>
      <c r="E305" t="s">
        <v>87</v>
      </c>
      <c r="F305" t="s">
        <v>53</v>
      </c>
      <c r="G305" t="s">
        <v>54</v>
      </c>
      <c r="H305" t="s">
        <v>63</v>
      </c>
      <c r="I305" t="s">
        <v>64</v>
      </c>
      <c r="J305" t="s">
        <v>65</v>
      </c>
      <c r="K305" t="s">
        <v>481</v>
      </c>
      <c r="L305" t="s">
        <v>470</v>
      </c>
      <c r="M305" t="s">
        <v>471</v>
      </c>
      <c r="O305" t="s">
        <v>52</v>
      </c>
      <c r="P305" t="s">
        <v>472</v>
      </c>
    </row>
    <row r="306" spans="1:16" x14ac:dyDescent="0.3">
      <c r="A306" t="s">
        <v>2632</v>
      </c>
      <c r="B306" t="s">
        <v>62</v>
      </c>
      <c r="C306" s="51">
        <v>46309.416666666664</v>
      </c>
      <c r="D306" s="51">
        <v>46307.413194444445</v>
      </c>
      <c r="E306" t="s">
        <v>87</v>
      </c>
      <c r="F306" t="s">
        <v>53</v>
      </c>
      <c r="G306" t="s">
        <v>54</v>
      </c>
      <c r="H306" t="s">
        <v>63</v>
      </c>
      <c r="I306" t="s">
        <v>64</v>
      </c>
      <c r="J306" t="s">
        <v>65</v>
      </c>
      <c r="K306" t="s">
        <v>481</v>
      </c>
      <c r="L306" t="s">
        <v>470</v>
      </c>
      <c r="M306" t="s">
        <v>471</v>
      </c>
      <c r="O306" t="s">
        <v>52</v>
      </c>
      <c r="P306" t="s">
        <v>472</v>
      </c>
    </row>
    <row r="307" spans="1:16" x14ac:dyDescent="0.3">
      <c r="A307" t="s">
        <v>2633</v>
      </c>
      <c r="B307" t="s">
        <v>155</v>
      </c>
      <c r="C307" s="51">
        <v>46310.9375</v>
      </c>
      <c r="D307" s="51">
        <v>46307.413194444445</v>
      </c>
      <c r="E307" t="s">
        <v>87</v>
      </c>
      <c r="F307" t="s">
        <v>53</v>
      </c>
      <c r="G307" t="s">
        <v>85</v>
      </c>
      <c r="H307" t="s">
        <v>156</v>
      </c>
      <c r="I307" t="s">
        <v>157</v>
      </c>
      <c r="J307" t="s">
        <v>70</v>
      </c>
      <c r="K307" t="s">
        <v>469</v>
      </c>
      <c r="L307" t="s">
        <v>470</v>
      </c>
      <c r="M307" t="s">
        <v>471</v>
      </c>
      <c r="N307">
        <v>15793896</v>
      </c>
      <c r="O307" t="s">
        <v>52</v>
      </c>
      <c r="P307" t="s">
        <v>472</v>
      </c>
    </row>
    <row r="308" spans="1:16" x14ac:dyDescent="0.3">
      <c r="A308" t="s">
        <v>2634</v>
      </c>
      <c r="B308" t="s">
        <v>155</v>
      </c>
      <c r="C308" s="51">
        <v>46310.938194444447</v>
      </c>
      <c r="D308" s="51">
        <v>46307.413194444445</v>
      </c>
      <c r="E308" t="s">
        <v>87</v>
      </c>
      <c r="F308" t="s">
        <v>53</v>
      </c>
      <c r="G308" t="s">
        <v>85</v>
      </c>
      <c r="H308" t="s">
        <v>156</v>
      </c>
      <c r="I308" t="s">
        <v>157</v>
      </c>
      <c r="J308" t="s">
        <v>70</v>
      </c>
      <c r="K308" t="s">
        <v>469</v>
      </c>
      <c r="L308" t="s">
        <v>470</v>
      </c>
      <c r="M308" t="s">
        <v>471</v>
      </c>
      <c r="N308">
        <v>15793992</v>
      </c>
      <c r="O308" t="s">
        <v>52</v>
      </c>
      <c r="P308" t="s">
        <v>472</v>
      </c>
    </row>
    <row r="309" spans="1:16" x14ac:dyDescent="0.3">
      <c r="A309" t="s">
        <v>2635</v>
      </c>
      <c r="B309" t="s">
        <v>62</v>
      </c>
      <c r="C309" s="51">
        <v>46309.416666666664</v>
      </c>
      <c r="D309" s="51">
        <v>46307.404861111114</v>
      </c>
      <c r="E309" t="s">
        <v>87</v>
      </c>
      <c r="F309" t="s">
        <v>53</v>
      </c>
      <c r="G309" t="s">
        <v>54</v>
      </c>
      <c r="H309" t="s">
        <v>63</v>
      </c>
      <c r="I309" t="s">
        <v>64</v>
      </c>
      <c r="J309" t="s">
        <v>65</v>
      </c>
      <c r="K309" t="s">
        <v>481</v>
      </c>
      <c r="L309" t="s">
        <v>470</v>
      </c>
      <c r="M309" t="s">
        <v>471</v>
      </c>
      <c r="O309" t="s">
        <v>52</v>
      </c>
      <c r="P309" t="s">
        <v>472</v>
      </c>
    </row>
    <row r="310" spans="1:16" x14ac:dyDescent="0.3">
      <c r="A310" t="s">
        <v>2636</v>
      </c>
      <c r="B310" t="s">
        <v>74</v>
      </c>
      <c r="C310" s="51">
        <v>46309.938194444447</v>
      </c>
      <c r="D310" s="51">
        <v>46307.40347222222</v>
      </c>
      <c r="E310" t="s">
        <v>87</v>
      </c>
      <c r="F310" t="s">
        <v>48</v>
      </c>
      <c r="G310" t="s">
        <v>49</v>
      </c>
      <c r="H310" t="s">
        <v>75</v>
      </c>
      <c r="I310" t="s">
        <v>139</v>
      </c>
      <c r="J310" t="s">
        <v>70</v>
      </c>
      <c r="K310" t="s">
        <v>469</v>
      </c>
      <c r="L310" t="s">
        <v>470</v>
      </c>
      <c r="M310" t="s">
        <v>471</v>
      </c>
      <c r="N310">
        <v>15793214</v>
      </c>
      <c r="O310" t="s">
        <v>52</v>
      </c>
      <c r="P310" t="s">
        <v>472</v>
      </c>
    </row>
    <row r="311" spans="1:16" x14ac:dyDescent="0.3">
      <c r="A311" t="s">
        <v>2637</v>
      </c>
      <c r="B311" t="s">
        <v>62</v>
      </c>
      <c r="C311" s="51">
        <v>46309.375</v>
      </c>
      <c r="D311" s="51">
        <v>46307.402777777781</v>
      </c>
      <c r="E311" t="s">
        <v>87</v>
      </c>
      <c r="F311" t="s">
        <v>53</v>
      </c>
      <c r="G311" t="s">
        <v>54</v>
      </c>
      <c r="H311" t="s">
        <v>63</v>
      </c>
      <c r="I311" t="s">
        <v>64</v>
      </c>
      <c r="J311" t="s">
        <v>65</v>
      </c>
      <c r="K311" t="s">
        <v>481</v>
      </c>
      <c r="L311" t="s">
        <v>470</v>
      </c>
      <c r="M311" t="s">
        <v>471</v>
      </c>
      <c r="O311" t="s">
        <v>52</v>
      </c>
      <c r="P311" t="s">
        <v>472</v>
      </c>
    </row>
    <row r="312" spans="1:16" x14ac:dyDescent="0.3">
      <c r="A312" t="s">
        <v>2638</v>
      </c>
      <c r="B312" t="s">
        <v>74</v>
      </c>
      <c r="C312" s="51">
        <v>46309.938194444447</v>
      </c>
      <c r="D312" s="51">
        <v>46307.402777777781</v>
      </c>
      <c r="E312" t="s">
        <v>87</v>
      </c>
      <c r="F312" t="s">
        <v>48</v>
      </c>
      <c r="G312" t="s">
        <v>49</v>
      </c>
      <c r="H312" t="s">
        <v>75</v>
      </c>
      <c r="I312" t="s">
        <v>86</v>
      </c>
      <c r="J312" t="s">
        <v>70</v>
      </c>
      <c r="K312" t="s">
        <v>469</v>
      </c>
      <c r="L312" t="s">
        <v>470</v>
      </c>
      <c r="M312" t="s">
        <v>471</v>
      </c>
      <c r="N312">
        <v>15793020</v>
      </c>
      <c r="O312" t="s">
        <v>52</v>
      </c>
      <c r="P312" t="s">
        <v>472</v>
      </c>
    </row>
    <row r="313" spans="1:16" x14ac:dyDescent="0.3">
      <c r="A313" t="s">
        <v>2639</v>
      </c>
      <c r="B313" t="s">
        <v>62</v>
      </c>
      <c r="C313" s="51">
        <v>46309.375</v>
      </c>
      <c r="D313" s="51">
        <v>46307.402777777781</v>
      </c>
      <c r="E313" t="s">
        <v>87</v>
      </c>
      <c r="F313" t="s">
        <v>53</v>
      </c>
      <c r="G313" t="s">
        <v>54</v>
      </c>
      <c r="H313" t="s">
        <v>63</v>
      </c>
      <c r="I313" t="s">
        <v>64</v>
      </c>
      <c r="J313" t="s">
        <v>65</v>
      </c>
      <c r="K313" t="s">
        <v>481</v>
      </c>
      <c r="L313" t="s">
        <v>470</v>
      </c>
      <c r="M313" t="s">
        <v>471</v>
      </c>
      <c r="O313" t="s">
        <v>52</v>
      </c>
      <c r="P313" t="s">
        <v>472</v>
      </c>
    </row>
    <row r="314" spans="1:16" x14ac:dyDescent="0.3">
      <c r="A314" t="s">
        <v>2640</v>
      </c>
      <c r="B314" t="s">
        <v>67</v>
      </c>
      <c r="C314" s="51">
        <v>46309.938194444447</v>
      </c>
      <c r="D314" s="51">
        <v>46307.402777777781</v>
      </c>
      <c r="E314" t="s">
        <v>87</v>
      </c>
      <c r="F314" t="s">
        <v>48</v>
      </c>
      <c r="G314" t="s">
        <v>49</v>
      </c>
      <c r="H314" t="s">
        <v>68</v>
      </c>
      <c r="I314" t="s">
        <v>69</v>
      </c>
      <c r="J314" t="s">
        <v>70</v>
      </c>
      <c r="K314" t="s">
        <v>469</v>
      </c>
      <c r="L314" t="s">
        <v>470</v>
      </c>
      <c r="M314" t="s">
        <v>471</v>
      </c>
      <c r="N314">
        <v>15792996</v>
      </c>
      <c r="O314" t="s">
        <v>52</v>
      </c>
      <c r="P314" t="s">
        <v>472</v>
      </c>
    </row>
    <row r="315" spans="1:16" x14ac:dyDescent="0.3">
      <c r="A315" t="s">
        <v>2641</v>
      </c>
      <c r="B315" t="s">
        <v>62</v>
      </c>
      <c r="C315" s="51">
        <v>46309.375</v>
      </c>
      <c r="D315" s="51">
        <v>46307.395833333336</v>
      </c>
      <c r="E315" t="s">
        <v>87</v>
      </c>
      <c r="F315" t="s">
        <v>53</v>
      </c>
      <c r="G315" t="s">
        <v>54</v>
      </c>
      <c r="H315" t="s">
        <v>63</v>
      </c>
      <c r="I315" t="s">
        <v>64</v>
      </c>
      <c r="J315" t="s">
        <v>65</v>
      </c>
      <c r="K315" t="s">
        <v>481</v>
      </c>
      <c r="L315" t="s">
        <v>470</v>
      </c>
      <c r="M315" t="s">
        <v>471</v>
      </c>
      <c r="O315" t="s">
        <v>52</v>
      </c>
      <c r="P315" t="s">
        <v>472</v>
      </c>
    </row>
    <row r="316" spans="1:16" x14ac:dyDescent="0.3">
      <c r="A316" t="s">
        <v>2642</v>
      </c>
      <c r="B316" t="s">
        <v>47</v>
      </c>
      <c r="C316" s="51">
        <v>46309.375</v>
      </c>
      <c r="D316" s="51">
        <v>46307.393750000003</v>
      </c>
      <c r="E316" t="s">
        <v>87</v>
      </c>
      <c r="F316" t="s">
        <v>48</v>
      </c>
      <c r="G316" t="s">
        <v>49</v>
      </c>
      <c r="H316" t="s">
        <v>50</v>
      </c>
      <c r="I316" t="s">
        <v>149</v>
      </c>
      <c r="J316" t="s">
        <v>51</v>
      </c>
      <c r="K316" t="s">
        <v>469</v>
      </c>
      <c r="L316" t="s">
        <v>470</v>
      </c>
      <c r="M316" t="s">
        <v>471</v>
      </c>
      <c r="O316" t="s">
        <v>52</v>
      </c>
      <c r="P316" t="s">
        <v>472</v>
      </c>
    </row>
    <row r="317" spans="1:16" x14ac:dyDescent="0.3">
      <c r="A317" t="s">
        <v>2643</v>
      </c>
      <c r="B317" t="s">
        <v>108</v>
      </c>
      <c r="C317" s="51">
        <v>46308.416666666664</v>
      </c>
      <c r="D317" s="51">
        <v>46307.381249999999</v>
      </c>
      <c r="E317" t="s">
        <v>87</v>
      </c>
      <c r="F317" t="s">
        <v>77</v>
      </c>
      <c r="G317" t="s">
        <v>107</v>
      </c>
      <c r="H317" t="s">
        <v>109</v>
      </c>
      <c r="I317" t="s">
        <v>122</v>
      </c>
      <c r="J317" t="s">
        <v>55</v>
      </c>
      <c r="K317" t="s">
        <v>475</v>
      </c>
      <c r="L317" t="s">
        <v>473</v>
      </c>
      <c r="M317" t="s">
        <v>497</v>
      </c>
      <c r="O317" t="s">
        <v>56</v>
      </c>
      <c r="P317" t="s">
        <v>474</v>
      </c>
    </row>
    <row r="318" spans="1:16" x14ac:dyDescent="0.3">
      <c r="A318" t="s">
        <v>2644</v>
      </c>
      <c r="B318" t="s">
        <v>62</v>
      </c>
      <c r="C318" s="51">
        <v>46309.375</v>
      </c>
      <c r="D318" s="51">
        <v>46307.379166666666</v>
      </c>
      <c r="E318" t="s">
        <v>87</v>
      </c>
      <c r="F318" t="s">
        <v>53</v>
      </c>
      <c r="G318" t="s">
        <v>54</v>
      </c>
      <c r="H318" t="s">
        <v>63</v>
      </c>
      <c r="I318" t="s">
        <v>64</v>
      </c>
      <c r="J318" t="s">
        <v>65</v>
      </c>
      <c r="K318" t="s">
        <v>481</v>
      </c>
      <c r="L318" t="s">
        <v>470</v>
      </c>
      <c r="M318" t="s">
        <v>471</v>
      </c>
      <c r="O318" t="s">
        <v>52</v>
      </c>
      <c r="P318" t="s">
        <v>472</v>
      </c>
    </row>
    <row r="319" spans="1:16" x14ac:dyDescent="0.3">
      <c r="A319" t="s">
        <v>2645</v>
      </c>
      <c r="B319" t="s">
        <v>74</v>
      </c>
      <c r="C319" s="51">
        <v>46309.938194444447</v>
      </c>
      <c r="D319" s="51">
        <v>46307.378472222219</v>
      </c>
      <c r="E319" t="s">
        <v>87</v>
      </c>
      <c r="F319" t="s">
        <v>48</v>
      </c>
      <c r="G319" t="s">
        <v>49</v>
      </c>
      <c r="H319" t="s">
        <v>75</v>
      </c>
      <c r="I319" t="s">
        <v>86</v>
      </c>
      <c r="J319" t="s">
        <v>70</v>
      </c>
      <c r="K319" t="s">
        <v>469</v>
      </c>
      <c r="L319" t="s">
        <v>470</v>
      </c>
      <c r="M319" t="s">
        <v>471</v>
      </c>
      <c r="N319">
        <v>15792806</v>
      </c>
      <c r="O319" t="s">
        <v>52</v>
      </c>
      <c r="P319" t="s">
        <v>472</v>
      </c>
    </row>
    <row r="320" spans="1:16" x14ac:dyDescent="0.3">
      <c r="A320" t="s">
        <v>2646</v>
      </c>
      <c r="B320" t="s">
        <v>118</v>
      </c>
      <c r="C320" s="51">
        <v>46308.416666666664</v>
      </c>
      <c r="D320" s="51">
        <v>46307.37777777778</v>
      </c>
      <c r="E320" t="s">
        <v>87</v>
      </c>
      <c r="F320" t="s">
        <v>77</v>
      </c>
      <c r="G320" t="s">
        <v>107</v>
      </c>
      <c r="H320" t="s">
        <v>119</v>
      </c>
      <c r="I320" t="s">
        <v>127</v>
      </c>
      <c r="J320" t="s">
        <v>128</v>
      </c>
      <c r="K320" t="s">
        <v>475</v>
      </c>
      <c r="L320" t="s">
        <v>473</v>
      </c>
      <c r="M320" t="s">
        <v>476</v>
      </c>
      <c r="O320" t="s">
        <v>503</v>
      </c>
      <c r="P320" t="s">
        <v>474</v>
      </c>
    </row>
    <row r="321" spans="1:16" x14ac:dyDescent="0.3">
      <c r="A321" t="s">
        <v>2647</v>
      </c>
      <c r="B321" t="s">
        <v>62</v>
      </c>
      <c r="C321" s="51">
        <v>46309.333333333336</v>
      </c>
      <c r="D321" s="51">
        <v>46307.365277777775</v>
      </c>
      <c r="E321" t="s">
        <v>87</v>
      </c>
      <c r="F321" t="s">
        <v>53</v>
      </c>
      <c r="G321" t="s">
        <v>54</v>
      </c>
      <c r="H321" t="s">
        <v>63</v>
      </c>
      <c r="I321" t="s">
        <v>64</v>
      </c>
      <c r="J321" t="s">
        <v>65</v>
      </c>
      <c r="K321" t="s">
        <v>481</v>
      </c>
      <c r="L321" t="s">
        <v>470</v>
      </c>
      <c r="M321" t="s">
        <v>471</v>
      </c>
      <c r="O321" t="s">
        <v>52</v>
      </c>
      <c r="P321" t="s">
        <v>472</v>
      </c>
    </row>
    <row r="322" spans="1:16" x14ac:dyDescent="0.3">
      <c r="A322" t="s">
        <v>2648</v>
      </c>
      <c r="B322" t="s">
        <v>67</v>
      </c>
      <c r="C322" s="51">
        <v>46309.938194444447</v>
      </c>
      <c r="D322" s="51">
        <v>46307.364583333336</v>
      </c>
      <c r="E322" t="s">
        <v>87</v>
      </c>
      <c r="F322" t="s">
        <v>48</v>
      </c>
      <c r="G322" t="s">
        <v>49</v>
      </c>
      <c r="H322" t="s">
        <v>68</v>
      </c>
      <c r="I322" t="s">
        <v>69</v>
      </c>
      <c r="J322" t="s">
        <v>70</v>
      </c>
      <c r="K322" t="s">
        <v>469</v>
      </c>
      <c r="L322" t="s">
        <v>470</v>
      </c>
      <c r="M322" t="s">
        <v>471</v>
      </c>
      <c r="N322">
        <v>15792796</v>
      </c>
      <c r="O322" t="s">
        <v>52</v>
      </c>
      <c r="P322" t="s">
        <v>472</v>
      </c>
    </row>
    <row r="323" spans="1:16" x14ac:dyDescent="0.3">
      <c r="A323" t="s">
        <v>2649</v>
      </c>
      <c r="B323" t="s">
        <v>108</v>
      </c>
      <c r="C323" s="51">
        <v>46308.375</v>
      </c>
      <c r="D323" s="51">
        <v>46307.363888888889</v>
      </c>
      <c r="E323" t="s">
        <v>87</v>
      </c>
      <c r="F323" t="s">
        <v>77</v>
      </c>
      <c r="G323" t="s">
        <v>107</v>
      </c>
      <c r="H323" t="s">
        <v>109</v>
      </c>
      <c r="I323" t="s">
        <v>122</v>
      </c>
      <c r="J323" t="s">
        <v>123</v>
      </c>
      <c r="K323" t="s">
        <v>475</v>
      </c>
      <c r="L323" t="s">
        <v>473</v>
      </c>
      <c r="M323" t="s">
        <v>492</v>
      </c>
      <c r="O323" t="s">
        <v>56</v>
      </c>
      <c r="P323" t="s">
        <v>474</v>
      </c>
    </row>
    <row r="324" spans="1:16" x14ac:dyDescent="0.3">
      <c r="A324" t="s">
        <v>2650</v>
      </c>
      <c r="B324" t="s">
        <v>62</v>
      </c>
      <c r="C324" s="51">
        <v>46309.333333333336</v>
      </c>
      <c r="D324" s="51">
        <v>46307.363194444442</v>
      </c>
      <c r="E324" t="s">
        <v>87</v>
      </c>
      <c r="F324" t="s">
        <v>53</v>
      </c>
      <c r="G324" t="s">
        <v>54</v>
      </c>
      <c r="H324" t="s">
        <v>63</v>
      </c>
      <c r="I324" t="s">
        <v>64</v>
      </c>
      <c r="J324" t="s">
        <v>65</v>
      </c>
      <c r="K324" t="s">
        <v>481</v>
      </c>
      <c r="L324" t="s">
        <v>470</v>
      </c>
      <c r="M324" t="s">
        <v>471</v>
      </c>
      <c r="O324" t="s">
        <v>52</v>
      </c>
      <c r="P324" t="s">
        <v>472</v>
      </c>
    </row>
    <row r="325" spans="1:16" x14ac:dyDescent="0.3">
      <c r="A325" t="s">
        <v>2651</v>
      </c>
      <c r="B325" t="s">
        <v>67</v>
      </c>
      <c r="C325" s="51">
        <v>46309.9375</v>
      </c>
      <c r="D325" s="51">
        <v>46307.363194444442</v>
      </c>
      <c r="E325" t="s">
        <v>87</v>
      </c>
      <c r="F325" t="s">
        <v>48</v>
      </c>
      <c r="G325" t="s">
        <v>49</v>
      </c>
      <c r="H325" t="s">
        <v>68</v>
      </c>
      <c r="I325" t="s">
        <v>69</v>
      </c>
      <c r="J325" t="s">
        <v>70</v>
      </c>
      <c r="K325" t="s">
        <v>469</v>
      </c>
      <c r="L325" t="s">
        <v>470</v>
      </c>
      <c r="M325" t="s">
        <v>471</v>
      </c>
      <c r="N325">
        <v>15792610</v>
      </c>
      <c r="O325" t="s">
        <v>52</v>
      </c>
      <c r="P325" t="s">
        <v>472</v>
      </c>
    </row>
    <row r="326" spans="1:16" x14ac:dyDescent="0.3">
      <c r="A326" t="s">
        <v>2652</v>
      </c>
      <c r="B326" t="s">
        <v>124</v>
      </c>
      <c r="C326" s="51">
        <v>46308.5</v>
      </c>
      <c r="D326" s="51">
        <v>46307.35833333333</v>
      </c>
      <c r="E326" t="s">
        <v>87</v>
      </c>
      <c r="F326" t="s">
        <v>77</v>
      </c>
      <c r="G326" t="s">
        <v>107</v>
      </c>
      <c r="H326" t="s">
        <v>125</v>
      </c>
      <c r="I326" t="s">
        <v>122</v>
      </c>
      <c r="J326" t="s">
        <v>126</v>
      </c>
      <c r="K326" t="s">
        <v>475</v>
      </c>
      <c r="L326" t="s">
        <v>473</v>
      </c>
      <c r="M326" t="s">
        <v>2653</v>
      </c>
      <c r="O326" t="s">
        <v>56</v>
      </c>
      <c r="P326" t="s">
        <v>474</v>
      </c>
    </row>
    <row r="327" spans="1:16" x14ac:dyDescent="0.3">
      <c r="A327" t="s">
        <v>2654</v>
      </c>
      <c r="B327" t="s">
        <v>108</v>
      </c>
      <c r="C327" s="51">
        <v>46308.375</v>
      </c>
      <c r="D327" s="51">
        <v>46307.342361111114</v>
      </c>
      <c r="E327" t="s">
        <v>87</v>
      </c>
      <c r="F327" t="s">
        <v>77</v>
      </c>
      <c r="G327" t="s">
        <v>107</v>
      </c>
      <c r="H327" t="s">
        <v>109</v>
      </c>
      <c r="I327" t="s">
        <v>122</v>
      </c>
      <c r="J327" t="s">
        <v>123</v>
      </c>
      <c r="K327" t="s">
        <v>475</v>
      </c>
      <c r="L327" t="s">
        <v>473</v>
      </c>
      <c r="M327" t="s">
        <v>478</v>
      </c>
      <c r="O327" t="s">
        <v>56</v>
      </c>
      <c r="P327" t="s">
        <v>474</v>
      </c>
    </row>
    <row r="328" spans="1:16" x14ac:dyDescent="0.3">
      <c r="A328" t="s">
        <v>2655</v>
      </c>
      <c r="B328" t="s">
        <v>62</v>
      </c>
      <c r="C328" s="51">
        <v>46309.333333333336</v>
      </c>
      <c r="D328" s="51">
        <v>46307.309027777781</v>
      </c>
      <c r="E328" t="s">
        <v>87</v>
      </c>
      <c r="F328" t="s">
        <v>53</v>
      </c>
      <c r="G328" t="s">
        <v>54</v>
      </c>
      <c r="H328" t="s">
        <v>63</v>
      </c>
      <c r="I328" t="s">
        <v>64</v>
      </c>
      <c r="J328" t="s">
        <v>65</v>
      </c>
      <c r="K328" t="s">
        <v>481</v>
      </c>
      <c r="L328" t="s">
        <v>470</v>
      </c>
      <c r="M328" t="s">
        <v>471</v>
      </c>
      <c r="O328" t="s">
        <v>52</v>
      </c>
      <c r="P328" t="s">
        <v>472</v>
      </c>
    </row>
    <row r="329" spans="1:16" x14ac:dyDescent="0.3">
      <c r="A329" t="s">
        <v>2656</v>
      </c>
      <c r="B329" t="s">
        <v>74</v>
      </c>
      <c r="C329" s="51">
        <v>46310.9375</v>
      </c>
      <c r="D329" s="51">
        <v>46307.309027777781</v>
      </c>
      <c r="E329" t="s">
        <v>87</v>
      </c>
      <c r="F329" t="s">
        <v>48</v>
      </c>
      <c r="G329" t="s">
        <v>49</v>
      </c>
      <c r="H329" t="s">
        <v>75</v>
      </c>
      <c r="I329" t="s">
        <v>76</v>
      </c>
      <c r="J329" t="s">
        <v>70</v>
      </c>
      <c r="K329" t="s">
        <v>469</v>
      </c>
      <c r="L329" t="s">
        <v>470</v>
      </c>
      <c r="M329" t="s">
        <v>471</v>
      </c>
      <c r="N329">
        <v>15790796</v>
      </c>
      <c r="O329" t="s">
        <v>52</v>
      </c>
      <c r="P329" t="s">
        <v>472</v>
      </c>
    </row>
    <row r="330" spans="1:16" x14ac:dyDescent="0.3">
      <c r="A330" t="s">
        <v>2657</v>
      </c>
      <c r="B330" t="s">
        <v>131</v>
      </c>
      <c r="C330" s="51">
        <v>46308.333333333336</v>
      </c>
      <c r="D330" s="51">
        <v>46307.301388888889</v>
      </c>
      <c r="E330" t="s">
        <v>87</v>
      </c>
      <c r="F330" t="s">
        <v>77</v>
      </c>
      <c r="G330" t="s">
        <v>132</v>
      </c>
      <c r="H330" t="s">
        <v>132</v>
      </c>
      <c r="I330" t="s">
        <v>84</v>
      </c>
      <c r="J330" t="s">
        <v>55</v>
      </c>
      <c r="K330" t="s">
        <v>487</v>
      </c>
      <c r="L330" t="s">
        <v>473</v>
      </c>
      <c r="M330" t="s">
        <v>497</v>
      </c>
      <c r="O330" t="s">
        <v>56</v>
      </c>
      <c r="P330" t="s">
        <v>474</v>
      </c>
    </row>
    <row r="331" spans="1:16" x14ac:dyDescent="0.3">
      <c r="A331" t="s">
        <v>2658</v>
      </c>
      <c r="B331" t="s">
        <v>74</v>
      </c>
      <c r="C331" s="51">
        <v>46309.9375</v>
      </c>
      <c r="D331" s="51">
        <v>46307.28402777778</v>
      </c>
      <c r="E331" t="s">
        <v>87</v>
      </c>
      <c r="F331" t="s">
        <v>48</v>
      </c>
      <c r="G331" t="s">
        <v>49</v>
      </c>
      <c r="H331" t="s">
        <v>75</v>
      </c>
      <c r="I331" t="s">
        <v>86</v>
      </c>
      <c r="J331" t="s">
        <v>70</v>
      </c>
      <c r="K331" t="s">
        <v>469</v>
      </c>
      <c r="L331" t="s">
        <v>470</v>
      </c>
      <c r="M331" t="s">
        <v>471</v>
      </c>
      <c r="N331">
        <v>15790402</v>
      </c>
      <c r="O331" t="s">
        <v>52</v>
      </c>
      <c r="P331" t="s">
        <v>472</v>
      </c>
    </row>
    <row r="332" spans="1:16" x14ac:dyDescent="0.3">
      <c r="A332" t="s">
        <v>2659</v>
      </c>
      <c r="B332" t="s">
        <v>62</v>
      </c>
      <c r="C332" s="51">
        <v>46309.333333333336</v>
      </c>
      <c r="D332" s="51">
        <v>46307.28402777778</v>
      </c>
      <c r="E332" t="s">
        <v>87</v>
      </c>
      <c r="F332" t="s">
        <v>53</v>
      </c>
      <c r="G332" t="s">
        <v>54</v>
      </c>
      <c r="H332" t="s">
        <v>63</v>
      </c>
      <c r="I332" t="s">
        <v>64</v>
      </c>
      <c r="J332" t="s">
        <v>65</v>
      </c>
      <c r="K332" t="s">
        <v>481</v>
      </c>
      <c r="L332" t="s">
        <v>470</v>
      </c>
      <c r="M332" t="s">
        <v>471</v>
      </c>
      <c r="O332" t="s">
        <v>52</v>
      </c>
      <c r="P332" t="s">
        <v>472</v>
      </c>
    </row>
    <row r="333" spans="1:16" x14ac:dyDescent="0.3">
      <c r="A333" t="s">
        <v>630</v>
      </c>
      <c r="B333" t="s">
        <v>47</v>
      </c>
      <c r="C333" s="51">
        <v>46308.916666666664</v>
      </c>
      <c r="D333" s="51">
        <v>46306.87777777778</v>
      </c>
      <c r="E333" t="s">
        <v>87</v>
      </c>
      <c r="F333" t="s">
        <v>48</v>
      </c>
      <c r="G333" t="s">
        <v>49</v>
      </c>
      <c r="H333" t="s">
        <v>50</v>
      </c>
      <c r="I333" t="s">
        <v>92</v>
      </c>
      <c r="J333" t="s">
        <v>51</v>
      </c>
      <c r="K333" t="s">
        <v>469</v>
      </c>
      <c r="L333" t="s">
        <v>470</v>
      </c>
      <c r="M333" t="s">
        <v>471</v>
      </c>
      <c r="O333" t="s">
        <v>52</v>
      </c>
      <c r="P333" t="s">
        <v>472</v>
      </c>
    </row>
    <row r="334" spans="1:16" x14ac:dyDescent="0.3">
      <c r="A334" t="s">
        <v>631</v>
      </c>
      <c r="B334" t="s">
        <v>62</v>
      </c>
      <c r="C334" s="51">
        <v>46309.333333333336</v>
      </c>
      <c r="D334" s="51">
        <v>46306.87777777778</v>
      </c>
      <c r="E334" t="s">
        <v>87</v>
      </c>
      <c r="F334" t="s">
        <v>53</v>
      </c>
      <c r="G334" t="s">
        <v>54</v>
      </c>
      <c r="H334" t="s">
        <v>63</v>
      </c>
      <c r="I334" t="s">
        <v>64</v>
      </c>
      <c r="J334" t="s">
        <v>65</v>
      </c>
      <c r="K334" t="s">
        <v>481</v>
      </c>
      <c r="L334" t="s">
        <v>470</v>
      </c>
      <c r="M334" t="s">
        <v>471</v>
      </c>
      <c r="O334" t="s">
        <v>52</v>
      </c>
      <c r="P334" t="s">
        <v>472</v>
      </c>
    </row>
    <row r="335" spans="1:16" x14ac:dyDescent="0.3">
      <c r="A335" t="s">
        <v>632</v>
      </c>
      <c r="B335" t="s">
        <v>47</v>
      </c>
      <c r="C335" s="51">
        <v>46309.9375</v>
      </c>
      <c r="D335" s="51">
        <v>46306.87777777778</v>
      </c>
      <c r="E335" t="s">
        <v>87</v>
      </c>
      <c r="F335" t="s">
        <v>48</v>
      </c>
      <c r="G335" t="s">
        <v>49</v>
      </c>
      <c r="H335" t="s">
        <v>50</v>
      </c>
      <c r="I335" t="s">
        <v>92</v>
      </c>
      <c r="J335" t="s">
        <v>51</v>
      </c>
      <c r="K335" t="s">
        <v>469</v>
      </c>
      <c r="L335" t="s">
        <v>470</v>
      </c>
      <c r="M335" t="s">
        <v>471</v>
      </c>
      <c r="N335">
        <v>15790418</v>
      </c>
      <c r="O335" t="s">
        <v>52</v>
      </c>
      <c r="P335" t="s">
        <v>472</v>
      </c>
    </row>
    <row r="336" spans="1:16" x14ac:dyDescent="0.3">
      <c r="A336" t="s">
        <v>633</v>
      </c>
      <c r="B336" t="s">
        <v>47</v>
      </c>
      <c r="C336" s="51">
        <v>46308.916666666664</v>
      </c>
      <c r="D336" s="51">
        <v>46306.87777777778</v>
      </c>
      <c r="E336" t="s">
        <v>87</v>
      </c>
      <c r="F336" t="s">
        <v>48</v>
      </c>
      <c r="G336" t="s">
        <v>49</v>
      </c>
      <c r="H336" t="s">
        <v>50</v>
      </c>
      <c r="I336" t="s">
        <v>92</v>
      </c>
      <c r="J336" t="s">
        <v>51</v>
      </c>
      <c r="K336" t="s">
        <v>469</v>
      </c>
      <c r="L336" t="s">
        <v>470</v>
      </c>
      <c r="M336" t="s">
        <v>471</v>
      </c>
      <c r="O336" t="s">
        <v>52</v>
      </c>
      <c r="P336" t="s">
        <v>472</v>
      </c>
    </row>
    <row r="337" spans="1:16" x14ac:dyDescent="0.3">
      <c r="A337" t="s">
        <v>634</v>
      </c>
      <c r="B337" t="s">
        <v>47</v>
      </c>
      <c r="C337" s="51">
        <v>46308.916666666664</v>
      </c>
      <c r="D337" s="51">
        <v>46306.877083333333</v>
      </c>
      <c r="E337" t="s">
        <v>87</v>
      </c>
      <c r="F337" t="s">
        <v>48</v>
      </c>
      <c r="G337" t="s">
        <v>49</v>
      </c>
      <c r="H337" t="s">
        <v>50</v>
      </c>
      <c r="I337" t="s">
        <v>92</v>
      </c>
      <c r="J337" t="s">
        <v>51</v>
      </c>
      <c r="K337" t="s">
        <v>469</v>
      </c>
      <c r="L337" t="s">
        <v>470</v>
      </c>
      <c r="M337" t="s">
        <v>471</v>
      </c>
      <c r="O337" t="s">
        <v>52</v>
      </c>
      <c r="P337" t="s">
        <v>472</v>
      </c>
    </row>
    <row r="338" spans="1:16" x14ac:dyDescent="0.3">
      <c r="A338" t="s">
        <v>635</v>
      </c>
      <c r="B338" t="s">
        <v>47</v>
      </c>
      <c r="C338" s="51">
        <v>46308.916666666664</v>
      </c>
      <c r="D338" s="51">
        <v>46306.877083333333</v>
      </c>
      <c r="E338" t="s">
        <v>87</v>
      </c>
      <c r="F338" t="s">
        <v>48</v>
      </c>
      <c r="G338" t="s">
        <v>49</v>
      </c>
      <c r="H338" t="s">
        <v>50</v>
      </c>
      <c r="I338" t="s">
        <v>92</v>
      </c>
      <c r="J338" t="s">
        <v>51</v>
      </c>
      <c r="K338" t="s">
        <v>469</v>
      </c>
      <c r="L338" t="s">
        <v>470</v>
      </c>
      <c r="M338" t="s">
        <v>471</v>
      </c>
      <c r="O338" t="s">
        <v>52</v>
      </c>
      <c r="P338" t="s">
        <v>472</v>
      </c>
    </row>
    <row r="339" spans="1:16" x14ac:dyDescent="0.3">
      <c r="A339" t="s">
        <v>636</v>
      </c>
      <c r="B339" t="s">
        <v>47</v>
      </c>
      <c r="C339" s="51">
        <v>46308.916666666664</v>
      </c>
      <c r="D339" s="51">
        <v>46306.877083333333</v>
      </c>
      <c r="E339" t="s">
        <v>87</v>
      </c>
      <c r="F339" t="s">
        <v>48</v>
      </c>
      <c r="G339" t="s">
        <v>49</v>
      </c>
      <c r="H339" t="s">
        <v>50</v>
      </c>
      <c r="I339" t="s">
        <v>92</v>
      </c>
      <c r="J339" t="s">
        <v>51</v>
      </c>
      <c r="K339" t="s">
        <v>469</v>
      </c>
      <c r="L339" t="s">
        <v>470</v>
      </c>
      <c r="M339" t="s">
        <v>471</v>
      </c>
      <c r="O339" t="s">
        <v>52</v>
      </c>
      <c r="P339" t="s">
        <v>472</v>
      </c>
    </row>
    <row r="340" spans="1:16" x14ac:dyDescent="0.3">
      <c r="A340" t="s">
        <v>637</v>
      </c>
      <c r="B340" t="s">
        <v>62</v>
      </c>
      <c r="C340" s="51">
        <v>46309.333333333336</v>
      </c>
      <c r="D340" s="51">
        <v>46306.877083333333</v>
      </c>
      <c r="E340" t="s">
        <v>87</v>
      </c>
      <c r="F340" t="s">
        <v>53</v>
      </c>
      <c r="G340" t="s">
        <v>54</v>
      </c>
      <c r="H340" t="s">
        <v>63</v>
      </c>
      <c r="I340" t="s">
        <v>64</v>
      </c>
      <c r="J340" t="s">
        <v>65</v>
      </c>
      <c r="K340" t="s">
        <v>481</v>
      </c>
      <c r="L340" t="s">
        <v>470</v>
      </c>
      <c r="M340" t="s">
        <v>471</v>
      </c>
      <c r="O340" t="s">
        <v>52</v>
      </c>
      <c r="P340" t="s">
        <v>472</v>
      </c>
    </row>
    <row r="341" spans="1:16" x14ac:dyDescent="0.3">
      <c r="A341" t="s">
        <v>638</v>
      </c>
      <c r="B341" t="s">
        <v>113</v>
      </c>
      <c r="C341" s="51">
        <v>46308.916666666664</v>
      </c>
      <c r="D341" s="51">
        <v>46306.808333333334</v>
      </c>
      <c r="E341" t="s">
        <v>87</v>
      </c>
      <c r="F341" t="s">
        <v>48</v>
      </c>
      <c r="G341" t="s">
        <v>49</v>
      </c>
      <c r="H341" t="s">
        <v>114</v>
      </c>
      <c r="I341" t="s">
        <v>115</v>
      </c>
      <c r="J341" t="s">
        <v>116</v>
      </c>
      <c r="K341" t="s">
        <v>469</v>
      </c>
      <c r="L341" t="s">
        <v>470</v>
      </c>
      <c r="M341" t="s">
        <v>471</v>
      </c>
      <c r="O341" t="s">
        <v>52</v>
      </c>
      <c r="P341" t="s">
        <v>472</v>
      </c>
    </row>
    <row r="342" spans="1:16" x14ac:dyDescent="0.3">
      <c r="A342" t="s">
        <v>639</v>
      </c>
      <c r="B342" t="s">
        <v>113</v>
      </c>
      <c r="C342" s="51">
        <v>46311.9375</v>
      </c>
      <c r="D342" s="51">
        <v>46306.808333333334</v>
      </c>
      <c r="E342" t="s">
        <v>87</v>
      </c>
      <c r="F342" t="s">
        <v>48</v>
      </c>
      <c r="G342" t="s">
        <v>49</v>
      </c>
      <c r="H342" t="s">
        <v>114</v>
      </c>
      <c r="I342" t="s">
        <v>115</v>
      </c>
      <c r="J342" t="s">
        <v>116</v>
      </c>
      <c r="K342" t="s">
        <v>469</v>
      </c>
      <c r="L342" t="s">
        <v>470</v>
      </c>
      <c r="M342" t="s">
        <v>471</v>
      </c>
      <c r="N342">
        <v>15790406</v>
      </c>
      <c r="O342" t="s">
        <v>52</v>
      </c>
      <c r="P342" t="s">
        <v>472</v>
      </c>
    </row>
    <row r="343" spans="1:16" x14ac:dyDescent="0.3">
      <c r="A343" t="s">
        <v>640</v>
      </c>
      <c r="B343" t="s">
        <v>67</v>
      </c>
      <c r="C343" s="51">
        <v>46308.916666666664</v>
      </c>
      <c r="D343" s="51">
        <v>46306.729166666664</v>
      </c>
      <c r="E343" t="s">
        <v>87</v>
      </c>
      <c r="F343" t="s">
        <v>48</v>
      </c>
      <c r="G343" t="s">
        <v>49</v>
      </c>
      <c r="H343" t="s">
        <v>68</v>
      </c>
      <c r="I343" t="s">
        <v>69</v>
      </c>
      <c r="J343" t="s">
        <v>70</v>
      </c>
      <c r="K343" t="s">
        <v>469</v>
      </c>
      <c r="L343" t="s">
        <v>470</v>
      </c>
      <c r="M343" t="s">
        <v>471</v>
      </c>
      <c r="O343" t="s">
        <v>52</v>
      </c>
      <c r="P343" t="s">
        <v>472</v>
      </c>
    </row>
    <row r="344" spans="1:16" x14ac:dyDescent="0.3">
      <c r="A344" t="s">
        <v>641</v>
      </c>
      <c r="B344" t="s">
        <v>67</v>
      </c>
      <c r="C344" s="51">
        <v>46310.938194444447</v>
      </c>
      <c r="D344" s="51">
        <v>46306.729166666664</v>
      </c>
      <c r="E344" t="s">
        <v>87</v>
      </c>
      <c r="F344" t="s">
        <v>48</v>
      </c>
      <c r="G344" t="s">
        <v>49</v>
      </c>
      <c r="H344" t="s">
        <v>68</v>
      </c>
      <c r="I344" t="s">
        <v>69</v>
      </c>
      <c r="J344" t="s">
        <v>70</v>
      </c>
      <c r="K344" t="s">
        <v>469</v>
      </c>
      <c r="L344" t="s">
        <v>470</v>
      </c>
      <c r="M344" t="s">
        <v>471</v>
      </c>
      <c r="N344">
        <v>15790416</v>
      </c>
      <c r="O344" t="s">
        <v>52</v>
      </c>
      <c r="P344" t="s">
        <v>472</v>
      </c>
    </row>
    <row r="345" spans="1:16" x14ac:dyDescent="0.3">
      <c r="A345" t="s">
        <v>642</v>
      </c>
      <c r="B345" t="s">
        <v>62</v>
      </c>
      <c r="C345" s="51">
        <v>46309.333333333336</v>
      </c>
      <c r="D345" s="51">
        <v>46306.724305555559</v>
      </c>
      <c r="E345" t="s">
        <v>87</v>
      </c>
      <c r="F345" t="s">
        <v>53</v>
      </c>
      <c r="G345" t="s">
        <v>54</v>
      </c>
      <c r="H345" t="s">
        <v>63</v>
      </c>
      <c r="I345" t="s">
        <v>64</v>
      </c>
      <c r="J345" t="s">
        <v>65</v>
      </c>
      <c r="K345" t="s">
        <v>481</v>
      </c>
      <c r="L345" t="s">
        <v>470</v>
      </c>
      <c r="M345" t="s">
        <v>471</v>
      </c>
      <c r="O345" t="s">
        <v>52</v>
      </c>
      <c r="P345" t="s">
        <v>472</v>
      </c>
    </row>
    <row r="346" spans="1:16" x14ac:dyDescent="0.3">
      <c r="A346" t="s">
        <v>643</v>
      </c>
      <c r="B346" t="s">
        <v>67</v>
      </c>
      <c r="C346" s="51">
        <v>46309.9375</v>
      </c>
      <c r="D346" s="51">
        <v>46306.724305555559</v>
      </c>
      <c r="E346" t="s">
        <v>87</v>
      </c>
      <c r="F346" t="s">
        <v>48</v>
      </c>
      <c r="G346" t="s">
        <v>49</v>
      </c>
      <c r="H346" t="s">
        <v>68</v>
      </c>
      <c r="I346" t="s">
        <v>69</v>
      </c>
      <c r="J346" t="s">
        <v>70</v>
      </c>
      <c r="K346" t="s">
        <v>469</v>
      </c>
      <c r="L346" t="s">
        <v>470</v>
      </c>
      <c r="M346" t="s">
        <v>471</v>
      </c>
      <c r="N346">
        <v>15790410</v>
      </c>
      <c r="O346" t="s">
        <v>52</v>
      </c>
      <c r="P346" t="s">
        <v>472</v>
      </c>
    </row>
    <row r="347" spans="1:16" x14ac:dyDescent="0.3">
      <c r="A347" t="s">
        <v>645</v>
      </c>
      <c r="B347" t="s">
        <v>67</v>
      </c>
      <c r="C347" s="51">
        <v>46308.916666666664</v>
      </c>
      <c r="D347" s="51">
        <v>46306.688194444447</v>
      </c>
      <c r="E347" t="s">
        <v>87</v>
      </c>
      <c r="F347" t="s">
        <v>48</v>
      </c>
      <c r="G347" t="s">
        <v>49</v>
      </c>
      <c r="H347" t="s">
        <v>68</v>
      </c>
      <c r="I347" t="s">
        <v>69</v>
      </c>
      <c r="J347" t="s">
        <v>70</v>
      </c>
      <c r="K347" t="s">
        <v>469</v>
      </c>
      <c r="L347" t="s">
        <v>470</v>
      </c>
      <c r="M347" t="s">
        <v>471</v>
      </c>
      <c r="O347" t="s">
        <v>52</v>
      </c>
      <c r="P347" t="s">
        <v>472</v>
      </c>
    </row>
    <row r="348" spans="1:16" x14ac:dyDescent="0.3">
      <c r="A348" t="s">
        <v>644</v>
      </c>
      <c r="B348" t="s">
        <v>67</v>
      </c>
      <c r="C348" s="51">
        <v>46308.875</v>
      </c>
      <c r="D348" s="51">
        <v>46306.688194444447</v>
      </c>
      <c r="E348" t="s">
        <v>87</v>
      </c>
      <c r="F348" t="s">
        <v>48</v>
      </c>
      <c r="G348" t="s">
        <v>49</v>
      </c>
      <c r="H348" t="s">
        <v>68</v>
      </c>
      <c r="I348" t="s">
        <v>69</v>
      </c>
      <c r="J348" t="s">
        <v>70</v>
      </c>
      <c r="K348" t="s">
        <v>469</v>
      </c>
      <c r="L348" t="s">
        <v>470</v>
      </c>
      <c r="M348" t="s">
        <v>471</v>
      </c>
      <c r="O348" t="s">
        <v>52</v>
      </c>
      <c r="P348" t="s">
        <v>472</v>
      </c>
    </row>
    <row r="349" spans="1:16" x14ac:dyDescent="0.3">
      <c r="A349" t="s">
        <v>646</v>
      </c>
      <c r="B349" t="s">
        <v>67</v>
      </c>
      <c r="C349" s="51">
        <v>46309.938194444447</v>
      </c>
      <c r="D349" s="51">
        <v>46306.688194444447</v>
      </c>
      <c r="E349" t="s">
        <v>87</v>
      </c>
      <c r="F349" t="s">
        <v>48</v>
      </c>
      <c r="G349" t="s">
        <v>49</v>
      </c>
      <c r="H349" t="s">
        <v>68</v>
      </c>
      <c r="I349" t="s">
        <v>69</v>
      </c>
      <c r="J349" t="s">
        <v>70</v>
      </c>
      <c r="K349" t="s">
        <v>469</v>
      </c>
      <c r="L349" t="s">
        <v>470</v>
      </c>
      <c r="M349" t="s">
        <v>471</v>
      </c>
      <c r="N349">
        <v>15789998</v>
      </c>
      <c r="O349" t="s">
        <v>52</v>
      </c>
      <c r="P349" t="s">
        <v>472</v>
      </c>
    </row>
    <row r="350" spans="1:16" x14ac:dyDescent="0.3">
      <c r="A350" t="s">
        <v>647</v>
      </c>
      <c r="B350" t="s">
        <v>67</v>
      </c>
      <c r="C350" s="51">
        <v>46309.9375</v>
      </c>
      <c r="D350" s="51">
        <v>46306.6875</v>
      </c>
      <c r="E350" t="s">
        <v>87</v>
      </c>
      <c r="F350" t="s">
        <v>48</v>
      </c>
      <c r="G350" t="s">
        <v>49</v>
      </c>
      <c r="H350" t="s">
        <v>68</v>
      </c>
      <c r="I350" t="s">
        <v>69</v>
      </c>
      <c r="J350" t="s">
        <v>70</v>
      </c>
      <c r="K350" t="s">
        <v>469</v>
      </c>
      <c r="L350" t="s">
        <v>470</v>
      </c>
      <c r="M350" t="s">
        <v>471</v>
      </c>
      <c r="N350">
        <v>15790420</v>
      </c>
      <c r="O350" t="s">
        <v>52</v>
      </c>
      <c r="P350" t="s">
        <v>472</v>
      </c>
    </row>
    <row r="351" spans="1:16" x14ac:dyDescent="0.3">
      <c r="A351" t="s">
        <v>648</v>
      </c>
      <c r="B351" t="s">
        <v>67</v>
      </c>
      <c r="C351" s="51">
        <v>46308.875</v>
      </c>
      <c r="D351" s="51">
        <v>46306.6875</v>
      </c>
      <c r="E351" t="s">
        <v>87</v>
      </c>
      <c r="F351" t="s">
        <v>48</v>
      </c>
      <c r="G351" t="s">
        <v>49</v>
      </c>
      <c r="H351" t="s">
        <v>68</v>
      </c>
      <c r="I351" t="s">
        <v>69</v>
      </c>
      <c r="J351" t="s">
        <v>70</v>
      </c>
      <c r="K351" t="s">
        <v>469</v>
      </c>
      <c r="L351" t="s">
        <v>470</v>
      </c>
      <c r="M351" t="s">
        <v>471</v>
      </c>
      <c r="O351" t="s">
        <v>52</v>
      </c>
      <c r="P351" t="s">
        <v>472</v>
      </c>
    </row>
    <row r="352" spans="1:16" x14ac:dyDescent="0.3">
      <c r="A352" t="s">
        <v>649</v>
      </c>
      <c r="B352" t="s">
        <v>67</v>
      </c>
      <c r="C352" s="51">
        <v>46309.9375</v>
      </c>
      <c r="D352" s="51">
        <v>46306.6875</v>
      </c>
      <c r="E352" t="s">
        <v>87</v>
      </c>
      <c r="F352" t="s">
        <v>48</v>
      </c>
      <c r="G352" t="s">
        <v>49</v>
      </c>
      <c r="H352" t="s">
        <v>68</v>
      </c>
      <c r="I352" t="s">
        <v>69</v>
      </c>
      <c r="J352" t="s">
        <v>70</v>
      </c>
      <c r="K352" t="s">
        <v>469</v>
      </c>
      <c r="L352" t="s">
        <v>470</v>
      </c>
      <c r="M352" t="s">
        <v>471</v>
      </c>
      <c r="N352">
        <v>15790000</v>
      </c>
      <c r="O352" t="s">
        <v>52</v>
      </c>
      <c r="P352" t="s">
        <v>472</v>
      </c>
    </row>
    <row r="353" spans="1:16" x14ac:dyDescent="0.3">
      <c r="A353" t="s">
        <v>650</v>
      </c>
      <c r="B353" t="s">
        <v>47</v>
      </c>
      <c r="C353" s="51">
        <v>46309.9375</v>
      </c>
      <c r="D353" s="51">
        <v>46306.676388888889</v>
      </c>
      <c r="E353" t="s">
        <v>87</v>
      </c>
      <c r="F353" t="s">
        <v>48</v>
      </c>
      <c r="G353" t="s">
        <v>49</v>
      </c>
      <c r="H353" t="s">
        <v>50</v>
      </c>
      <c r="I353" t="s">
        <v>66</v>
      </c>
      <c r="J353" t="s">
        <v>51</v>
      </c>
      <c r="K353" t="s">
        <v>469</v>
      </c>
      <c r="L353" t="s">
        <v>470</v>
      </c>
      <c r="M353" t="s">
        <v>471</v>
      </c>
      <c r="N353">
        <v>15790002</v>
      </c>
      <c r="O353" t="s">
        <v>52</v>
      </c>
      <c r="P353" t="s">
        <v>472</v>
      </c>
    </row>
    <row r="354" spans="1:16" x14ac:dyDescent="0.3">
      <c r="A354" t="s">
        <v>651</v>
      </c>
      <c r="B354" t="s">
        <v>47</v>
      </c>
      <c r="C354" s="51">
        <v>46308.9375</v>
      </c>
      <c r="D354" s="51">
        <v>46306.670138888891</v>
      </c>
      <c r="E354" t="s">
        <v>87</v>
      </c>
      <c r="F354" t="s">
        <v>48</v>
      </c>
      <c r="G354" t="s">
        <v>49</v>
      </c>
      <c r="H354" t="s">
        <v>50</v>
      </c>
      <c r="I354" t="s">
        <v>66</v>
      </c>
      <c r="J354" t="s">
        <v>51</v>
      </c>
      <c r="K354" t="s">
        <v>469</v>
      </c>
      <c r="L354" t="s">
        <v>470</v>
      </c>
      <c r="M354" t="s">
        <v>471</v>
      </c>
      <c r="N354">
        <v>15785832</v>
      </c>
      <c r="O354" t="s">
        <v>52</v>
      </c>
      <c r="P354" t="s">
        <v>472</v>
      </c>
    </row>
    <row r="355" spans="1:16" x14ac:dyDescent="0.3">
      <c r="A355" t="s">
        <v>652</v>
      </c>
      <c r="B355" t="s">
        <v>57</v>
      </c>
      <c r="C355" s="51">
        <v>46307.666666666664</v>
      </c>
      <c r="D355" s="51">
        <v>46306.618750000001</v>
      </c>
      <c r="E355" t="s">
        <v>87</v>
      </c>
      <c r="F355" t="s">
        <v>58</v>
      </c>
      <c r="G355" t="s">
        <v>59</v>
      </c>
      <c r="H355" t="s">
        <v>60</v>
      </c>
      <c r="I355" t="s">
        <v>61</v>
      </c>
      <c r="J355" t="s">
        <v>55</v>
      </c>
      <c r="K355" t="s">
        <v>486</v>
      </c>
      <c r="L355" t="s">
        <v>473</v>
      </c>
      <c r="M355" t="s">
        <v>476</v>
      </c>
      <c r="O355" t="s">
        <v>56</v>
      </c>
      <c r="P355" t="s">
        <v>474</v>
      </c>
    </row>
    <row r="356" spans="1:16" x14ac:dyDescent="0.3">
      <c r="A356" t="s">
        <v>653</v>
      </c>
      <c r="B356" t="s">
        <v>74</v>
      </c>
      <c r="C356" s="51">
        <v>46308.833333333336</v>
      </c>
      <c r="D356" s="51">
        <v>46306.613194444442</v>
      </c>
      <c r="E356" t="s">
        <v>87</v>
      </c>
      <c r="F356" t="s">
        <v>48</v>
      </c>
      <c r="G356" t="s">
        <v>49</v>
      </c>
      <c r="H356" t="s">
        <v>75</v>
      </c>
      <c r="I356" t="s">
        <v>76</v>
      </c>
      <c r="J356" t="s">
        <v>70</v>
      </c>
      <c r="K356" t="s">
        <v>469</v>
      </c>
      <c r="L356" t="s">
        <v>470</v>
      </c>
      <c r="M356" t="s">
        <v>471</v>
      </c>
      <c r="O356" t="s">
        <v>52</v>
      </c>
      <c r="P356" t="s">
        <v>472</v>
      </c>
    </row>
    <row r="357" spans="1:16" x14ac:dyDescent="0.3">
      <c r="A357" t="s">
        <v>654</v>
      </c>
      <c r="B357" t="s">
        <v>74</v>
      </c>
      <c r="C357" s="51">
        <v>46309.9375</v>
      </c>
      <c r="D357" s="51">
        <v>46306.613194444442</v>
      </c>
      <c r="E357" t="s">
        <v>87</v>
      </c>
      <c r="F357" t="s">
        <v>48</v>
      </c>
      <c r="G357" t="s">
        <v>49</v>
      </c>
      <c r="H357" t="s">
        <v>75</v>
      </c>
      <c r="I357" t="s">
        <v>76</v>
      </c>
      <c r="J357" t="s">
        <v>70</v>
      </c>
      <c r="K357" t="s">
        <v>469</v>
      </c>
      <c r="L357" t="s">
        <v>470</v>
      </c>
      <c r="M357" t="s">
        <v>471</v>
      </c>
      <c r="N357">
        <v>15789598</v>
      </c>
      <c r="O357" t="s">
        <v>52</v>
      </c>
      <c r="P357" t="s">
        <v>472</v>
      </c>
    </row>
    <row r="358" spans="1:16" x14ac:dyDescent="0.3">
      <c r="A358" t="s">
        <v>655</v>
      </c>
      <c r="B358" t="s">
        <v>47</v>
      </c>
      <c r="C358" s="51">
        <v>46309.938194444447</v>
      </c>
      <c r="D358" s="51">
        <v>46306.60833333333</v>
      </c>
      <c r="E358" t="s">
        <v>87</v>
      </c>
      <c r="F358" t="s">
        <v>48</v>
      </c>
      <c r="G358" t="s">
        <v>49</v>
      </c>
      <c r="H358" t="s">
        <v>50</v>
      </c>
      <c r="I358" t="s">
        <v>92</v>
      </c>
      <c r="J358" t="s">
        <v>51</v>
      </c>
      <c r="K358" t="s">
        <v>469</v>
      </c>
      <c r="L358" t="s">
        <v>470</v>
      </c>
      <c r="M358" t="s">
        <v>471</v>
      </c>
      <c r="N358">
        <v>15790400</v>
      </c>
      <c r="O358" t="s">
        <v>52</v>
      </c>
      <c r="P358" t="s">
        <v>472</v>
      </c>
    </row>
    <row r="359" spans="1:16" x14ac:dyDescent="0.3">
      <c r="A359" t="s">
        <v>656</v>
      </c>
      <c r="B359" t="s">
        <v>47</v>
      </c>
      <c r="C359" s="51">
        <v>46308.916666666664</v>
      </c>
      <c r="D359" s="51">
        <v>46306.60833333333</v>
      </c>
      <c r="E359" t="s">
        <v>87</v>
      </c>
      <c r="F359" t="s">
        <v>48</v>
      </c>
      <c r="G359" t="s">
        <v>49</v>
      </c>
      <c r="H359" t="s">
        <v>50</v>
      </c>
      <c r="I359" t="s">
        <v>92</v>
      </c>
      <c r="J359" t="s">
        <v>51</v>
      </c>
      <c r="K359" t="s">
        <v>469</v>
      </c>
      <c r="L359" t="s">
        <v>470</v>
      </c>
      <c r="M359" t="s">
        <v>471</v>
      </c>
      <c r="O359" t="s">
        <v>52</v>
      </c>
      <c r="P359" t="s">
        <v>472</v>
      </c>
    </row>
    <row r="360" spans="1:16" x14ac:dyDescent="0.3">
      <c r="A360" t="s">
        <v>657</v>
      </c>
      <c r="B360" t="s">
        <v>120</v>
      </c>
      <c r="C360" s="51">
        <v>46309.9375</v>
      </c>
      <c r="D360" s="51">
        <v>46306.581944444442</v>
      </c>
      <c r="E360" t="s">
        <v>87</v>
      </c>
      <c r="F360" t="s">
        <v>48</v>
      </c>
      <c r="G360" t="s">
        <v>49</v>
      </c>
      <c r="H360" t="s">
        <v>121</v>
      </c>
      <c r="I360" t="s">
        <v>82</v>
      </c>
      <c r="J360" t="s">
        <v>51</v>
      </c>
      <c r="K360" t="s">
        <v>469</v>
      </c>
      <c r="L360" t="s">
        <v>470</v>
      </c>
      <c r="M360" t="s">
        <v>471</v>
      </c>
      <c r="N360">
        <v>15789596</v>
      </c>
      <c r="O360" t="s">
        <v>52</v>
      </c>
      <c r="P360" t="s">
        <v>472</v>
      </c>
    </row>
    <row r="361" spans="1:16" x14ac:dyDescent="0.3">
      <c r="A361" t="s">
        <v>658</v>
      </c>
      <c r="B361" t="s">
        <v>120</v>
      </c>
      <c r="C361" s="51">
        <v>46308.875</v>
      </c>
      <c r="D361" s="51">
        <v>46306.581944444442</v>
      </c>
      <c r="E361" t="s">
        <v>87</v>
      </c>
      <c r="F361" t="s">
        <v>48</v>
      </c>
      <c r="G361" t="s">
        <v>49</v>
      </c>
      <c r="H361" t="s">
        <v>121</v>
      </c>
      <c r="I361" t="s">
        <v>82</v>
      </c>
      <c r="J361" t="s">
        <v>51</v>
      </c>
      <c r="K361" t="s">
        <v>469</v>
      </c>
      <c r="L361" t="s">
        <v>470</v>
      </c>
      <c r="M361" t="s">
        <v>471</v>
      </c>
      <c r="O361" t="s">
        <v>52</v>
      </c>
      <c r="P361" t="s">
        <v>472</v>
      </c>
    </row>
    <row r="362" spans="1:16" x14ac:dyDescent="0.3">
      <c r="A362" t="s">
        <v>659</v>
      </c>
      <c r="B362" t="s">
        <v>113</v>
      </c>
      <c r="C362" s="51">
        <v>46310.9375</v>
      </c>
      <c r="D362" s="51">
        <v>46306.581250000003</v>
      </c>
      <c r="E362" t="s">
        <v>87</v>
      </c>
      <c r="F362" t="s">
        <v>48</v>
      </c>
      <c r="G362" t="s">
        <v>49</v>
      </c>
      <c r="H362" t="s">
        <v>114</v>
      </c>
      <c r="I362" t="s">
        <v>115</v>
      </c>
      <c r="J362" t="s">
        <v>116</v>
      </c>
      <c r="K362" t="s">
        <v>469</v>
      </c>
      <c r="L362" t="s">
        <v>470</v>
      </c>
      <c r="M362" t="s">
        <v>471</v>
      </c>
      <c r="N362">
        <v>15790008</v>
      </c>
      <c r="O362" t="s">
        <v>52</v>
      </c>
      <c r="P362" t="s">
        <v>472</v>
      </c>
    </row>
    <row r="363" spans="1:16" x14ac:dyDescent="0.3">
      <c r="A363" t="s">
        <v>660</v>
      </c>
      <c r="B363" t="s">
        <v>113</v>
      </c>
      <c r="C363" s="51">
        <v>46308.916666666664</v>
      </c>
      <c r="D363" s="51">
        <v>46306.581250000003</v>
      </c>
      <c r="E363" t="s">
        <v>87</v>
      </c>
      <c r="F363" t="s">
        <v>48</v>
      </c>
      <c r="G363" t="s">
        <v>49</v>
      </c>
      <c r="H363" t="s">
        <v>114</v>
      </c>
      <c r="I363" t="s">
        <v>115</v>
      </c>
      <c r="J363" t="s">
        <v>116</v>
      </c>
      <c r="K363" t="s">
        <v>469</v>
      </c>
      <c r="L363" t="s">
        <v>470</v>
      </c>
      <c r="M363" t="s">
        <v>471</v>
      </c>
      <c r="O363" t="s">
        <v>52</v>
      </c>
      <c r="P363" t="s">
        <v>472</v>
      </c>
    </row>
    <row r="364" spans="1:16" x14ac:dyDescent="0.3">
      <c r="A364" t="s">
        <v>661</v>
      </c>
      <c r="B364" t="s">
        <v>62</v>
      </c>
      <c r="C364" s="51">
        <v>46309.333333333336</v>
      </c>
      <c r="D364" s="51">
        <v>46306.570833333331</v>
      </c>
      <c r="E364" t="s">
        <v>87</v>
      </c>
      <c r="F364" t="s">
        <v>53</v>
      </c>
      <c r="G364" t="s">
        <v>54</v>
      </c>
      <c r="H364" t="s">
        <v>63</v>
      </c>
      <c r="I364" t="s">
        <v>64</v>
      </c>
      <c r="J364" t="s">
        <v>65</v>
      </c>
      <c r="K364" t="s">
        <v>481</v>
      </c>
      <c r="L364" t="s">
        <v>470</v>
      </c>
      <c r="M364" t="s">
        <v>471</v>
      </c>
      <c r="O364" t="s">
        <v>52</v>
      </c>
      <c r="P364" t="s">
        <v>472</v>
      </c>
    </row>
    <row r="365" spans="1:16" x14ac:dyDescent="0.3">
      <c r="A365" t="s">
        <v>662</v>
      </c>
      <c r="B365" t="s">
        <v>71</v>
      </c>
      <c r="C365" s="51">
        <v>46310.9375</v>
      </c>
      <c r="D365" s="51">
        <v>46306.570833333331</v>
      </c>
      <c r="E365" t="s">
        <v>87</v>
      </c>
      <c r="F365" t="s">
        <v>48</v>
      </c>
      <c r="G365" t="s">
        <v>49</v>
      </c>
      <c r="H365" t="s">
        <v>72</v>
      </c>
      <c r="I365" t="s">
        <v>73</v>
      </c>
      <c r="J365" t="s">
        <v>70</v>
      </c>
      <c r="K365" t="s">
        <v>469</v>
      </c>
      <c r="L365" t="s">
        <v>470</v>
      </c>
      <c r="M365" t="s">
        <v>471</v>
      </c>
      <c r="N365">
        <v>15790414</v>
      </c>
      <c r="O365" t="s">
        <v>52</v>
      </c>
      <c r="P365" t="s">
        <v>472</v>
      </c>
    </row>
    <row r="366" spans="1:16" x14ac:dyDescent="0.3">
      <c r="A366" t="s">
        <v>663</v>
      </c>
      <c r="B366" t="s">
        <v>67</v>
      </c>
      <c r="C366" s="51">
        <v>46308.875</v>
      </c>
      <c r="D366" s="51">
        <v>46306.5625</v>
      </c>
      <c r="E366" t="s">
        <v>87</v>
      </c>
      <c r="F366" t="s">
        <v>48</v>
      </c>
      <c r="G366" t="s">
        <v>49</v>
      </c>
      <c r="H366" t="s">
        <v>68</v>
      </c>
      <c r="I366" t="s">
        <v>69</v>
      </c>
      <c r="J366" t="s">
        <v>70</v>
      </c>
      <c r="K366" t="s">
        <v>469</v>
      </c>
      <c r="L366" t="s">
        <v>470</v>
      </c>
      <c r="M366" t="s">
        <v>471</v>
      </c>
      <c r="O366" t="s">
        <v>52</v>
      </c>
      <c r="P366" t="s">
        <v>472</v>
      </c>
    </row>
    <row r="367" spans="1:16" x14ac:dyDescent="0.3">
      <c r="A367" t="s">
        <v>664</v>
      </c>
      <c r="B367" t="s">
        <v>67</v>
      </c>
      <c r="C367" s="51">
        <v>46308.9375</v>
      </c>
      <c r="D367" s="51">
        <v>46306.5625</v>
      </c>
      <c r="E367" t="s">
        <v>87</v>
      </c>
      <c r="F367" t="s">
        <v>48</v>
      </c>
      <c r="G367" t="s">
        <v>49</v>
      </c>
      <c r="H367" t="s">
        <v>68</v>
      </c>
      <c r="I367" t="s">
        <v>69</v>
      </c>
      <c r="J367" t="s">
        <v>70</v>
      </c>
      <c r="K367" t="s">
        <v>469</v>
      </c>
      <c r="L367" t="s">
        <v>470</v>
      </c>
      <c r="M367" t="s">
        <v>471</v>
      </c>
      <c r="N367">
        <v>15785908</v>
      </c>
      <c r="O367" t="s">
        <v>52</v>
      </c>
      <c r="P367" t="s">
        <v>472</v>
      </c>
    </row>
    <row r="368" spans="1:16" x14ac:dyDescent="0.3">
      <c r="A368" t="s">
        <v>665</v>
      </c>
      <c r="B368" t="s">
        <v>74</v>
      </c>
      <c r="C368" s="51">
        <v>46308.833333333336</v>
      </c>
      <c r="D368" s="51">
        <v>46306.555555555555</v>
      </c>
      <c r="E368" t="s">
        <v>87</v>
      </c>
      <c r="F368" t="s">
        <v>48</v>
      </c>
      <c r="G368" t="s">
        <v>49</v>
      </c>
      <c r="H368" t="s">
        <v>75</v>
      </c>
      <c r="I368" t="s">
        <v>86</v>
      </c>
      <c r="J368" t="s">
        <v>70</v>
      </c>
      <c r="K368" t="s">
        <v>469</v>
      </c>
      <c r="L368" t="s">
        <v>470</v>
      </c>
      <c r="M368" t="s">
        <v>471</v>
      </c>
      <c r="O368" t="s">
        <v>52</v>
      </c>
      <c r="P368" t="s">
        <v>472</v>
      </c>
    </row>
    <row r="369" spans="1:16" x14ac:dyDescent="0.3">
      <c r="A369" t="s">
        <v>666</v>
      </c>
      <c r="B369" t="s">
        <v>74</v>
      </c>
      <c r="C369" s="51">
        <v>46309.9375</v>
      </c>
      <c r="D369" s="51">
        <v>46306.555555555555</v>
      </c>
      <c r="E369" t="s">
        <v>87</v>
      </c>
      <c r="F369" t="s">
        <v>48</v>
      </c>
      <c r="G369" t="s">
        <v>49</v>
      </c>
      <c r="H369" t="s">
        <v>75</v>
      </c>
      <c r="I369" t="s">
        <v>86</v>
      </c>
      <c r="J369" t="s">
        <v>70</v>
      </c>
      <c r="K369" t="s">
        <v>469</v>
      </c>
      <c r="L369" t="s">
        <v>470</v>
      </c>
      <c r="M369" t="s">
        <v>471</v>
      </c>
      <c r="N369">
        <v>15790016</v>
      </c>
      <c r="O369" t="s">
        <v>52</v>
      </c>
      <c r="P369" t="s">
        <v>472</v>
      </c>
    </row>
    <row r="370" spans="1:16" x14ac:dyDescent="0.3">
      <c r="A370" t="s">
        <v>667</v>
      </c>
      <c r="B370" t="s">
        <v>62</v>
      </c>
      <c r="C370" s="51">
        <v>46309.333333333336</v>
      </c>
      <c r="D370" s="51">
        <v>46306.529861111114</v>
      </c>
      <c r="E370" t="s">
        <v>87</v>
      </c>
      <c r="F370" t="s">
        <v>53</v>
      </c>
      <c r="G370" t="s">
        <v>54</v>
      </c>
      <c r="H370" t="s">
        <v>63</v>
      </c>
      <c r="I370" t="s">
        <v>64</v>
      </c>
      <c r="J370" t="s">
        <v>65</v>
      </c>
      <c r="K370" t="s">
        <v>481</v>
      </c>
      <c r="L370" t="s">
        <v>470</v>
      </c>
      <c r="M370" t="s">
        <v>471</v>
      </c>
      <c r="O370" t="s">
        <v>52</v>
      </c>
      <c r="P370" t="s">
        <v>472</v>
      </c>
    </row>
    <row r="371" spans="1:16" x14ac:dyDescent="0.3">
      <c r="A371" t="s">
        <v>668</v>
      </c>
      <c r="B371" t="s">
        <v>67</v>
      </c>
      <c r="C371" s="51">
        <v>46309.9375</v>
      </c>
      <c r="D371" s="51">
        <v>46306.52847222222</v>
      </c>
      <c r="E371" t="s">
        <v>87</v>
      </c>
      <c r="F371" t="s">
        <v>48</v>
      </c>
      <c r="G371" t="s">
        <v>49</v>
      </c>
      <c r="H371" t="s">
        <v>68</v>
      </c>
      <c r="I371" t="s">
        <v>69</v>
      </c>
      <c r="J371" t="s">
        <v>70</v>
      </c>
      <c r="K371" t="s">
        <v>469</v>
      </c>
      <c r="L371" t="s">
        <v>470</v>
      </c>
      <c r="M371" t="s">
        <v>471</v>
      </c>
      <c r="N371">
        <v>15789600</v>
      </c>
      <c r="O371" t="s">
        <v>52</v>
      </c>
      <c r="P371" t="s">
        <v>472</v>
      </c>
    </row>
    <row r="372" spans="1:16" x14ac:dyDescent="0.3">
      <c r="A372" t="s">
        <v>669</v>
      </c>
      <c r="B372" t="s">
        <v>62</v>
      </c>
      <c r="C372" s="51">
        <v>46309.333333333336</v>
      </c>
      <c r="D372" s="51">
        <v>46306.52847222222</v>
      </c>
      <c r="E372" t="s">
        <v>87</v>
      </c>
      <c r="F372" t="s">
        <v>53</v>
      </c>
      <c r="G372" t="s">
        <v>54</v>
      </c>
      <c r="H372" t="s">
        <v>63</v>
      </c>
      <c r="I372" t="s">
        <v>64</v>
      </c>
      <c r="J372" t="s">
        <v>65</v>
      </c>
      <c r="K372" t="s">
        <v>481</v>
      </c>
      <c r="L372" t="s">
        <v>470</v>
      </c>
      <c r="M372" t="s">
        <v>471</v>
      </c>
      <c r="O372" t="s">
        <v>52</v>
      </c>
      <c r="P372" t="s">
        <v>472</v>
      </c>
    </row>
    <row r="373" spans="1:16" x14ac:dyDescent="0.3">
      <c r="A373" t="s">
        <v>670</v>
      </c>
      <c r="B373" t="s">
        <v>67</v>
      </c>
      <c r="C373" s="51">
        <v>46309.938194444447</v>
      </c>
      <c r="D373" s="51">
        <v>46306.527777777781</v>
      </c>
      <c r="E373" t="s">
        <v>87</v>
      </c>
      <c r="F373" t="s">
        <v>48</v>
      </c>
      <c r="G373" t="s">
        <v>49</v>
      </c>
      <c r="H373" t="s">
        <v>68</v>
      </c>
      <c r="I373" t="s">
        <v>69</v>
      </c>
      <c r="J373" t="s">
        <v>70</v>
      </c>
      <c r="K373" t="s">
        <v>469</v>
      </c>
      <c r="L373" t="s">
        <v>470</v>
      </c>
      <c r="M373" t="s">
        <v>471</v>
      </c>
      <c r="N373">
        <v>15790398</v>
      </c>
      <c r="O373" t="s">
        <v>52</v>
      </c>
      <c r="P373" t="s">
        <v>472</v>
      </c>
    </row>
    <row r="374" spans="1:16" x14ac:dyDescent="0.3">
      <c r="A374" t="s">
        <v>671</v>
      </c>
      <c r="B374" t="s">
        <v>113</v>
      </c>
      <c r="C374" s="51">
        <v>46308.791666666664</v>
      </c>
      <c r="D374" s="51">
        <v>46306.500694444447</v>
      </c>
      <c r="E374" t="s">
        <v>87</v>
      </c>
      <c r="F374" t="s">
        <v>48</v>
      </c>
      <c r="G374" t="s">
        <v>49</v>
      </c>
      <c r="H374" t="s">
        <v>114</v>
      </c>
      <c r="I374" t="s">
        <v>115</v>
      </c>
      <c r="J374" t="s">
        <v>116</v>
      </c>
      <c r="K374" t="s">
        <v>469</v>
      </c>
      <c r="L374" t="s">
        <v>470</v>
      </c>
      <c r="M374" t="s">
        <v>471</v>
      </c>
      <c r="N374">
        <v>15789602</v>
      </c>
      <c r="O374" t="s">
        <v>52</v>
      </c>
      <c r="P374" t="s">
        <v>472</v>
      </c>
    </row>
    <row r="375" spans="1:16" x14ac:dyDescent="0.3">
      <c r="A375" t="s">
        <v>672</v>
      </c>
      <c r="B375" t="s">
        <v>113</v>
      </c>
      <c r="C375" s="51">
        <v>46308.833333333336</v>
      </c>
      <c r="D375" s="51">
        <v>46306.500694444447</v>
      </c>
      <c r="E375" t="s">
        <v>87</v>
      </c>
      <c r="F375" t="s">
        <v>48</v>
      </c>
      <c r="G375" t="s">
        <v>49</v>
      </c>
      <c r="H375" t="s">
        <v>114</v>
      </c>
      <c r="I375" t="s">
        <v>115</v>
      </c>
      <c r="J375" t="s">
        <v>116</v>
      </c>
      <c r="K375" t="s">
        <v>469</v>
      </c>
      <c r="L375" t="s">
        <v>470</v>
      </c>
      <c r="M375" t="s">
        <v>471</v>
      </c>
      <c r="O375" t="s">
        <v>52</v>
      </c>
      <c r="P375" t="s">
        <v>472</v>
      </c>
    </row>
    <row r="376" spans="1:16" x14ac:dyDescent="0.3">
      <c r="A376" t="s">
        <v>673</v>
      </c>
      <c r="B376" t="s">
        <v>74</v>
      </c>
      <c r="C376" s="51">
        <v>46308.9375</v>
      </c>
      <c r="D376" s="51">
        <v>46306.454861111109</v>
      </c>
      <c r="E376" t="s">
        <v>87</v>
      </c>
      <c r="F376" t="s">
        <v>48</v>
      </c>
      <c r="G376" t="s">
        <v>49</v>
      </c>
      <c r="H376" t="s">
        <v>75</v>
      </c>
      <c r="I376" t="s">
        <v>76</v>
      </c>
      <c r="J376" t="s">
        <v>70</v>
      </c>
      <c r="K376" t="s">
        <v>469</v>
      </c>
      <c r="L376" t="s">
        <v>470</v>
      </c>
      <c r="M376" t="s">
        <v>471</v>
      </c>
      <c r="N376">
        <v>15785828</v>
      </c>
      <c r="O376" t="s">
        <v>52</v>
      </c>
      <c r="P376" t="s">
        <v>472</v>
      </c>
    </row>
    <row r="377" spans="1:16" x14ac:dyDescent="0.3">
      <c r="A377" t="s">
        <v>674</v>
      </c>
      <c r="B377" t="s">
        <v>74</v>
      </c>
      <c r="C377" s="51">
        <v>46308.833333333336</v>
      </c>
      <c r="D377" s="51">
        <v>46306.454861111109</v>
      </c>
      <c r="E377" t="s">
        <v>87</v>
      </c>
      <c r="F377" t="s">
        <v>48</v>
      </c>
      <c r="G377" t="s">
        <v>49</v>
      </c>
      <c r="H377" t="s">
        <v>75</v>
      </c>
      <c r="I377" t="s">
        <v>76</v>
      </c>
      <c r="J377" t="s">
        <v>70</v>
      </c>
      <c r="K377" t="s">
        <v>469</v>
      </c>
      <c r="L377" t="s">
        <v>470</v>
      </c>
      <c r="M377" t="s">
        <v>471</v>
      </c>
      <c r="O377" t="s">
        <v>52</v>
      </c>
      <c r="P377" t="s">
        <v>472</v>
      </c>
    </row>
    <row r="378" spans="1:16" x14ac:dyDescent="0.3">
      <c r="A378" t="s">
        <v>675</v>
      </c>
      <c r="B378" t="s">
        <v>74</v>
      </c>
      <c r="C378" s="51">
        <v>46308.9375</v>
      </c>
      <c r="D378" s="51">
        <v>46306.45208333333</v>
      </c>
      <c r="E378" t="s">
        <v>87</v>
      </c>
      <c r="F378" t="s">
        <v>48</v>
      </c>
      <c r="G378" t="s">
        <v>49</v>
      </c>
      <c r="H378" t="s">
        <v>75</v>
      </c>
      <c r="I378" t="s">
        <v>76</v>
      </c>
      <c r="J378" t="s">
        <v>70</v>
      </c>
      <c r="K378" t="s">
        <v>469</v>
      </c>
      <c r="L378" t="s">
        <v>470</v>
      </c>
      <c r="M378" t="s">
        <v>471</v>
      </c>
      <c r="N378">
        <v>15785836</v>
      </c>
      <c r="O378" t="s">
        <v>52</v>
      </c>
      <c r="P378" t="s">
        <v>472</v>
      </c>
    </row>
    <row r="379" spans="1:16" x14ac:dyDescent="0.3">
      <c r="A379" t="s">
        <v>676</v>
      </c>
      <c r="B379" t="s">
        <v>74</v>
      </c>
      <c r="C379" s="51">
        <v>46308.833333333336</v>
      </c>
      <c r="D379" s="51">
        <v>46306.450694444444</v>
      </c>
      <c r="E379" t="s">
        <v>87</v>
      </c>
      <c r="F379" t="s">
        <v>48</v>
      </c>
      <c r="G379" t="s">
        <v>49</v>
      </c>
      <c r="H379" t="s">
        <v>75</v>
      </c>
      <c r="I379" t="s">
        <v>76</v>
      </c>
      <c r="J379" t="s">
        <v>70</v>
      </c>
      <c r="K379" t="s">
        <v>469</v>
      </c>
      <c r="L379" t="s">
        <v>470</v>
      </c>
      <c r="M379" t="s">
        <v>471</v>
      </c>
      <c r="O379" t="s">
        <v>52</v>
      </c>
      <c r="P379" t="s">
        <v>472</v>
      </c>
    </row>
    <row r="380" spans="1:16" x14ac:dyDescent="0.3">
      <c r="A380" t="s">
        <v>677</v>
      </c>
      <c r="B380" t="s">
        <v>74</v>
      </c>
      <c r="C380" s="51">
        <v>46308.791666666664</v>
      </c>
      <c r="D380" s="51">
        <v>46306.45</v>
      </c>
      <c r="E380" t="s">
        <v>87</v>
      </c>
      <c r="F380" t="s">
        <v>48</v>
      </c>
      <c r="G380" t="s">
        <v>49</v>
      </c>
      <c r="H380" t="s">
        <v>75</v>
      </c>
      <c r="I380" t="s">
        <v>76</v>
      </c>
      <c r="J380" t="s">
        <v>70</v>
      </c>
      <c r="K380" t="s">
        <v>469</v>
      </c>
      <c r="L380" t="s">
        <v>470</v>
      </c>
      <c r="M380" t="s">
        <v>471</v>
      </c>
      <c r="O380" t="s">
        <v>52</v>
      </c>
      <c r="P380" t="s">
        <v>472</v>
      </c>
    </row>
    <row r="381" spans="1:16" x14ac:dyDescent="0.3">
      <c r="A381" t="s">
        <v>678</v>
      </c>
      <c r="B381" t="s">
        <v>74</v>
      </c>
      <c r="C381" s="51">
        <v>46308.9375</v>
      </c>
      <c r="D381" s="51">
        <v>46306.449305555558</v>
      </c>
      <c r="E381" t="s">
        <v>87</v>
      </c>
      <c r="F381" t="s">
        <v>48</v>
      </c>
      <c r="G381" t="s">
        <v>49</v>
      </c>
      <c r="H381" t="s">
        <v>75</v>
      </c>
      <c r="I381" t="s">
        <v>76</v>
      </c>
      <c r="J381" t="s">
        <v>70</v>
      </c>
      <c r="K381" t="s">
        <v>469</v>
      </c>
      <c r="L381" t="s">
        <v>470</v>
      </c>
      <c r="M381" t="s">
        <v>471</v>
      </c>
      <c r="N381">
        <v>15785838</v>
      </c>
      <c r="O381" t="s">
        <v>52</v>
      </c>
      <c r="P381" t="s">
        <v>472</v>
      </c>
    </row>
    <row r="382" spans="1:16" x14ac:dyDescent="0.3">
      <c r="A382" t="s">
        <v>679</v>
      </c>
      <c r="B382" t="s">
        <v>74</v>
      </c>
      <c r="C382" s="51">
        <v>46308.9375</v>
      </c>
      <c r="D382" s="51">
        <v>46306.449305555558</v>
      </c>
      <c r="E382" t="s">
        <v>87</v>
      </c>
      <c r="F382" t="s">
        <v>48</v>
      </c>
      <c r="G382" t="s">
        <v>49</v>
      </c>
      <c r="H382" t="s">
        <v>75</v>
      </c>
      <c r="I382" t="s">
        <v>76</v>
      </c>
      <c r="J382" t="s">
        <v>70</v>
      </c>
      <c r="K382" t="s">
        <v>469</v>
      </c>
      <c r="L382" t="s">
        <v>470</v>
      </c>
      <c r="M382" t="s">
        <v>471</v>
      </c>
      <c r="N382">
        <v>15785862</v>
      </c>
      <c r="O382" t="s">
        <v>52</v>
      </c>
      <c r="P382" t="s">
        <v>472</v>
      </c>
    </row>
    <row r="383" spans="1:16" x14ac:dyDescent="0.3">
      <c r="A383" t="s">
        <v>680</v>
      </c>
      <c r="B383" t="s">
        <v>74</v>
      </c>
      <c r="C383" s="51">
        <v>46308.5</v>
      </c>
      <c r="D383" s="51">
        <v>46306.449305555558</v>
      </c>
      <c r="E383" t="s">
        <v>87</v>
      </c>
      <c r="F383" t="s">
        <v>48</v>
      </c>
      <c r="G383" t="s">
        <v>49</v>
      </c>
      <c r="H383" t="s">
        <v>75</v>
      </c>
      <c r="I383" t="s">
        <v>2660</v>
      </c>
      <c r="J383" t="s">
        <v>70</v>
      </c>
      <c r="K383" t="s">
        <v>469</v>
      </c>
      <c r="L383" t="s">
        <v>470</v>
      </c>
      <c r="M383" t="s">
        <v>471</v>
      </c>
      <c r="O383" t="s">
        <v>52</v>
      </c>
      <c r="P383" t="s">
        <v>472</v>
      </c>
    </row>
    <row r="384" spans="1:16" x14ac:dyDescent="0.3">
      <c r="A384" t="s">
        <v>681</v>
      </c>
      <c r="B384" t="s">
        <v>74</v>
      </c>
      <c r="C384" s="51">
        <v>46308.9375</v>
      </c>
      <c r="D384" s="51">
        <v>46306.443055555559</v>
      </c>
      <c r="E384" t="s">
        <v>87</v>
      </c>
      <c r="F384" t="s">
        <v>48</v>
      </c>
      <c r="G384" t="s">
        <v>49</v>
      </c>
      <c r="H384" t="s">
        <v>75</v>
      </c>
      <c r="I384" t="s">
        <v>76</v>
      </c>
      <c r="J384" t="s">
        <v>70</v>
      </c>
      <c r="K384" t="s">
        <v>469</v>
      </c>
      <c r="L384" t="s">
        <v>470</v>
      </c>
      <c r="M384" t="s">
        <v>471</v>
      </c>
      <c r="N384">
        <v>15785846</v>
      </c>
      <c r="O384" t="s">
        <v>52</v>
      </c>
      <c r="P384" t="s">
        <v>472</v>
      </c>
    </row>
    <row r="385" spans="1:16" x14ac:dyDescent="0.3">
      <c r="A385" t="s">
        <v>682</v>
      </c>
      <c r="B385" t="s">
        <v>74</v>
      </c>
      <c r="C385" s="51">
        <v>46308.5</v>
      </c>
      <c r="D385" s="51">
        <v>46306.443055555559</v>
      </c>
      <c r="E385" t="s">
        <v>87</v>
      </c>
      <c r="F385" t="s">
        <v>48</v>
      </c>
      <c r="G385" t="s">
        <v>49</v>
      </c>
      <c r="H385" t="s">
        <v>75</v>
      </c>
      <c r="I385" t="s">
        <v>76</v>
      </c>
      <c r="J385" t="s">
        <v>70</v>
      </c>
      <c r="K385" t="s">
        <v>469</v>
      </c>
      <c r="L385" t="s">
        <v>470</v>
      </c>
      <c r="M385" t="s">
        <v>471</v>
      </c>
      <c r="O385" t="s">
        <v>52</v>
      </c>
      <c r="P385" t="s">
        <v>472</v>
      </c>
    </row>
    <row r="386" spans="1:16" x14ac:dyDescent="0.3">
      <c r="A386" t="s">
        <v>683</v>
      </c>
      <c r="B386" t="s">
        <v>74</v>
      </c>
      <c r="C386" s="51">
        <v>46308.9375</v>
      </c>
      <c r="D386" s="51">
        <v>46306.441666666666</v>
      </c>
      <c r="E386" t="s">
        <v>87</v>
      </c>
      <c r="F386" t="s">
        <v>48</v>
      </c>
      <c r="G386" t="s">
        <v>49</v>
      </c>
      <c r="H386" t="s">
        <v>75</v>
      </c>
      <c r="I386" t="s">
        <v>76</v>
      </c>
      <c r="J386" t="s">
        <v>70</v>
      </c>
      <c r="K386" t="s">
        <v>469</v>
      </c>
      <c r="L386" t="s">
        <v>470</v>
      </c>
      <c r="M386" t="s">
        <v>471</v>
      </c>
      <c r="N386">
        <v>15785818</v>
      </c>
      <c r="O386" t="s">
        <v>52</v>
      </c>
      <c r="P386" t="s">
        <v>472</v>
      </c>
    </row>
    <row r="387" spans="1:16" x14ac:dyDescent="0.3">
      <c r="A387" t="s">
        <v>684</v>
      </c>
      <c r="B387" t="s">
        <v>74</v>
      </c>
      <c r="C387" s="51">
        <v>46308.9375</v>
      </c>
      <c r="D387" s="51">
        <v>46306.440972222219</v>
      </c>
      <c r="E387" t="s">
        <v>87</v>
      </c>
      <c r="F387" t="s">
        <v>48</v>
      </c>
      <c r="G387" t="s">
        <v>49</v>
      </c>
      <c r="H387" t="s">
        <v>75</v>
      </c>
      <c r="I387" t="s">
        <v>76</v>
      </c>
      <c r="J387" t="s">
        <v>70</v>
      </c>
      <c r="K387" t="s">
        <v>469</v>
      </c>
      <c r="L387" t="s">
        <v>470</v>
      </c>
      <c r="M387" t="s">
        <v>471</v>
      </c>
      <c r="N387">
        <v>15785888</v>
      </c>
      <c r="O387" t="s">
        <v>52</v>
      </c>
      <c r="P387" t="s">
        <v>472</v>
      </c>
    </row>
    <row r="388" spans="1:16" x14ac:dyDescent="0.3">
      <c r="A388" t="s">
        <v>685</v>
      </c>
      <c r="B388" t="s">
        <v>74</v>
      </c>
      <c r="C388" s="51">
        <v>46308.938194444447</v>
      </c>
      <c r="D388" s="51">
        <v>46306.440972222219</v>
      </c>
      <c r="E388" t="s">
        <v>87</v>
      </c>
      <c r="F388" t="s">
        <v>48</v>
      </c>
      <c r="G388" t="s">
        <v>49</v>
      </c>
      <c r="H388" t="s">
        <v>75</v>
      </c>
      <c r="I388" t="s">
        <v>76</v>
      </c>
      <c r="J388" t="s">
        <v>70</v>
      </c>
      <c r="K388" t="s">
        <v>469</v>
      </c>
      <c r="L388" t="s">
        <v>470</v>
      </c>
      <c r="M388" t="s">
        <v>471</v>
      </c>
      <c r="N388">
        <v>15785808</v>
      </c>
      <c r="O388" t="s">
        <v>52</v>
      </c>
      <c r="P388" t="s">
        <v>472</v>
      </c>
    </row>
    <row r="389" spans="1:16" x14ac:dyDescent="0.3">
      <c r="A389" t="s">
        <v>686</v>
      </c>
      <c r="B389" t="s">
        <v>74</v>
      </c>
      <c r="C389" s="51">
        <v>46308.791666666664</v>
      </c>
      <c r="D389" s="51">
        <v>46306.440972222219</v>
      </c>
      <c r="E389" t="s">
        <v>87</v>
      </c>
      <c r="F389" t="s">
        <v>48</v>
      </c>
      <c r="G389" t="s">
        <v>49</v>
      </c>
      <c r="H389" t="s">
        <v>75</v>
      </c>
      <c r="I389" t="s">
        <v>76</v>
      </c>
      <c r="J389" t="s">
        <v>70</v>
      </c>
      <c r="K389" t="s">
        <v>469</v>
      </c>
      <c r="L389" t="s">
        <v>470</v>
      </c>
      <c r="M389" t="s">
        <v>471</v>
      </c>
      <c r="O389" t="s">
        <v>52</v>
      </c>
      <c r="P389" t="s">
        <v>472</v>
      </c>
    </row>
    <row r="390" spans="1:16" x14ac:dyDescent="0.3">
      <c r="A390" t="s">
        <v>687</v>
      </c>
      <c r="B390" t="s">
        <v>74</v>
      </c>
      <c r="C390" s="51">
        <v>46308.938194444447</v>
      </c>
      <c r="D390" s="51">
        <v>46306.440972222219</v>
      </c>
      <c r="E390" t="s">
        <v>87</v>
      </c>
      <c r="F390" t="s">
        <v>48</v>
      </c>
      <c r="G390" t="s">
        <v>49</v>
      </c>
      <c r="H390" t="s">
        <v>75</v>
      </c>
      <c r="I390" t="s">
        <v>76</v>
      </c>
      <c r="J390" t="s">
        <v>70</v>
      </c>
      <c r="K390" t="s">
        <v>469</v>
      </c>
      <c r="L390" t="s">
        <v>470</v>
      </c>
      <c r="M390" t="s">
        <v>471</v>
      </c>
      <c r="N390">
        <v>15785814</v>
      </c>
      <c r="O390" t="s">
        <v>52</v>
      </c>
      <c r="P390" t="s">
        <v>472</v>
      </c>
    </row>
    <row r="391" spans="1:16" x14ac:dyDescent="0.3">
      <c r="A391" t="s">
        <v>688</v>
      </c>
      <c r="B391" t="s">
        <v>74</v>
      </c>
      <c r="C391" s="51">
        <v>46308.5</v>
      </c>
      <c r="D391" s="51">
        <v>46306.440972222219</v>
      </c>
      <c r="E391" t="s">
        <v>87</v>
      </c>
      <c r="F391" t="s">
        <v>48</v>
      </c>
      <c r="G391" t="s">
        <v>49</v>
      </c>
      <c r="H391" t="s">
        <v>75</v>
      </c>
      <c r="I391" t="s">
        <v>76</v>
      </c>
      <c r="J391" t="s">
        <v>70</v>
      </c>
      <c r="K391" t="s">
        <v>469</v>
      </c>
      <c r="L391" t="s">
        <v>470</v>
      </c>
      <c r="M391" t="s">
        <v>471</v>
      </c>
      <c r="O391" t="s">
        <v>52</v>
      </c>
      <c r="P391" t="s">
        <v>472</v>
      </c>
    </row>
    <row r="392" spans="1:16" x14ac:dyDescent="0.3">
      <c r="A392" t="s">
        <v>689</v>
      </c>
      <c r="B392" t="s">
        <v>74</v>
      </c>
      <c r="C392" s="51">
        <v>46308.938194444447</v>
      </c>
      <c r="D392" s="51">
        <v>46306.44027777778</v>
      </c>
      <c r="E392" t="s">
        <v>87</v>
      </c>
      <c r="F392" t="s">
        <v>48</v>
      </c>
      <c r="G392" t="s">
        <v>49</v>
      </c>
      <c r="H392" t="s">
        <v>75</v>
      </c>
      <c r="I392" t="s">
        <v>76</v>
      </c>
      <c r="J392" t="s">
        <v>70</v>
      </c>
      <c r="K392" t="s">
        <v>469</v>
      </c>
      <c r="L392" t="s">
        <v>470</v>
      </c>
      <c r="M392" t="s">
        <v>471</v>
      </c>
      <c r="N392">
        <v>15785810</v>
      </c>
      <c r="O392" t="s">
        <v>52</v>
      </c>
      <c r="P392" t="s">
        <v>472</v>
      </c>
    </row>
    <row r="393" spans="1:16" x14ac:dyDescent="0.3">
      <c r="A393" t="s">
        <v>690</v>
      </c>
      <c r="B393" t="s">
        <v>74</v>
      </c>
      <c r="C393" s="51">
        <v>46308.791666666664</v>
      </c>
      <c r="D393" s="51">
        <v>46306.44027777778</v>
      </c>
      <c r="E393" t="s">
        <v>87</v>
      </c>
      <c r="F393" t="s">
        <v>48</v>
      </c>
      <c r="G393" t="s">
        <v>49</v>
      </c>
      <c r="H393" t="s">
        <v>75</v>
      </c>
      <c r="I393" t="s">
        <v>76</v>
      </c>
      <c r="J393" t="s">
        <v>70</v>
      </c>
      <c r="K393" t="s">
        <v>469</v>
      </c>
      <c r="L393" t="s">
        <v>470</v>
      </c>
      <c r="M393" t="s">
        <v>471</v>
      </c>
      <c r="O393" t="s">
        <v>52</v>
      </c>
      <c r="P393" t="s">
        <v>472</v>
      </c>
    </row>
    <row r="394" spans="1:16" x14ac:dyDescent="0.3">
      <c r="A394" t="s">
        <v>691</v>
      </c>
      <c r="B394" t="s">
        <v>74</v>
      </c>
      <c r="C394" s="51">
        <v>46308.791666666664</v>
      </c>
      <c r="D394" s="51">
        <v>46306.44027777778</v>
      </c>
      <c r="E394" t="s">
        <v>87</v>
      </c>
      <c r="F394" t="s">
        <v>48</v>
      </c>
      <c r="G394" t="s">
        <v>49</v>
      </c>
      <c r="H394" t="s">
        <v>75</v>
      </c>
      <c r="I394" t="s">
        <v>76</v>
      </c>
      <c r="J394" t="s">
        <v>70</v>
      </c>
      <c r="K394" t="s">
        <v>469</v>
      </c>
      <c r="L394" t="s">
        <v>470</v>
      </c>
      <c r="M394" t="s">
        <v>471</v>
      </c>
      <c r="O394" t="s">
        <v>52</v>
      </c>
      <c r="P394" t="s">
        <v>472</v>
      </c>
    </row>
    <row r="395" spans="1:16" x14ac:dyDescent="0.3">
      <c r="A395" t="s">
        <v>692</v>
      </c>
      <c r="B395" t="s">
        <v>74</v>
      </c>
      <c r="C395" s="51">
        <v>46308.5</v>
      </c>
      <c r="D395" s="51">
        <v>46306.44027777778</v>
      </c>
      <c r="E395" t="s">
        <v>87</v>
      </c>
      <c r="F395" t="s">
        <v>48</v>
      </c>
      <c r="G395" t="s">
        <v>49</v>
      </c>
      <c r="H395" t="s">
        <v>75</v>
      </c>
      <c r="I395" t="s">
        <v>76</v>
      </c>
      <c r="J395" t="s">
        <v>70</v>
      </c>
      <c r="K395" t="s">
        <v>469</v>
      </c>
      <c r="L395" t="s">
        <v>470</v>
      </c>
      <c r="M395" t="s">
        <v>471</v>
      </c>
      <c r="O395" t="s">
        <v>52</v>
      </c>
      <c r="P395" t="s">
        <v>472</v>
      </c>
    </row>
    <row r="396" spans="1:16" x14ac:dyDescent="0.3">
      <c r="A396" t="s">
        <v>693</v>
      </c>
      <c r="B396" t="s">
        <v>74</v>
      </c>
      <c r="C396" s="51">
        <v>46308.938194444447</v>
      </c>
      <c r="D396" s="51">
        <v>46306.44027777778</v>
      </c>
      <c r="E396" t="s">
        <v>87</v>
      </c>
      <c r="F396" t="s">
        <v>48</v>
      </c>
      <c r="G396" t="s">
        <v>49</v>
      </c>
      <c r="H396" t="s">
        <v>75</v>
      </c>
      <c r="I396" t="s">
        <v>76</v>
      </c>
      <c r="J396" t="s">
        <v>70</v>
      </c>
      <c r="K396" t="s">
        <v>469</v>
      </c>
      <c r="L396" t="s">
        <v>470</v>
      </c>
      <c r="M396" t="s">
        <v>471</v>
      </c>
      <c r="N396">
        <v>15785896</v>
      </c>
      <c r="O396" t="s">
        <v>52</v>
      </c>
      <c r="P396" t="s">
        <v>472</v>
      </c>
    </row>
    <row r="397" spans="1:16" x14ac:dyDescent="0.3">
      <c r="A397" t="s">
        <v>694</v>
      </c>
      <c r="B397" t="s">
        <v>74</v>
      </c>
      <c r="C397" s="51">
        <v>46308.791666666664</v>
      </c>
      <c r="D397" s="51">
        <v>46306.44027777778</v>
      </c>
      <c r="E397" t="s">
        <v>87</v>
      </c>
      <c r="F397" t="s">
        <v>48</v>
      </c>
      <c r="G397" t="s">
        <v>49</v>
      </c>
      <c r="H397" t="s">
        <v>75</v>
      </c>
      <c r="I397" t="s">
        <v>76</v>
      </c>
      <c r="J397" t="s">
        <v>70</v>
      </c>
      <c r="K397" t="s">
        <v>469</v>
      </c>
      <c r="L397" t="s">
        <v>470</v>
      </c>
      <c r="M397" t="s">
        <v>471</v>
      </c>
      <c r="O397" t="s">
        <v>52</v>
      </c>
      <c r="P397" t="s">
        <v>472</v>
      </c>
    </row>
    <row r="398" spans="1:16" x14ac:dyDescent="0.3">
      <c r="A398" t="s">
        <v>695</v>
      </c>
      <c r="B398" t="s">
        <v>67</v>
      </c>
      <c r="C398" s="51">
        <v>46308.791666666664</v>
      </c>
      <c r="D398" s="51">
        <v>46306.429861111108</v>
      </c>
      <c r="E398" t="s">
        <v>87</v>
      </c>
      <c r="F398" t="s">
        <v>48</v>
      </c>
      <c r="G398" t="s">
        <v>49</v>
      </c>
      <c r="H398" t="s">
        <v>68</v>
      </c>
      <c r="I398" t="s">
        <v>69</v>
      </c>
      <c r="J398" t="s">
        <v>70</v>
      </c>
      <c r="K398" t="s">
        <v>469</v>
      </c>
      <c r="L398" t="s">
        <v>470</v>
      </c>
      <c r="M398" t="s">
        <v>471</v>
      </c>
      <c r="O398" t="s">
        <v>52</v>
      </c>
      <c r="P398" t="s">
        <v>472</v>
      </c>
    </row>
    <row r="399" spans="1:16" x14ac:dyDescent="0.3">
      <c r="A399" t="s">
        <v>696</v>
      </c>
      <c r="B399" t="s">
        <v>74</v>
      </c>
      <c r="C399" s="51">
        <v>46308.916666666664</v>
      </c>
      <c r="D399" s="51">
        <v>46306.429166666669</v>
      </c>
      <c r="E399" t="s">
        <v>87</v>
      </c>
      <c r="F399" t="s">
        <v>48</v>
      </c>
      <c r="G399" t="s">
        <v>49</v>
      </c>
      <c r="H399" t="s">
        <v>75</v>
      </c>
      <c r="I399" t="s">
        <v>76</v>
      </c>
      <c r="J399" t="s">
        <v>70</v>
      </c>
      <c r="K399" t="s">
        <v>469</v>
      </c>
      <c r="L399" t="s">
        <v>470</v>
      </c>
      <c r="M399" t="s">
        <v>471</v>
      </c>
      <c r="O399" t="s">
        <v>52</v>
      </c>
      <c r="P399" t="s">
        <v>472</v>
      </c>
    </row>
    <row r="400" spans="1:16" x14ac:dyDescent="0.3">
      <c r="A400" t="s">
        <v>697</v>
      </c>
      <c r="B400" t="s">
        <v>74</v>
      </c>
      <c r="C400" s="51">
        <v>46308.938194444447</v>
      </c>
      <c r="D400" s="51">
        <v>46306.425000000003</v>
      </c>
      <c r="E400" t="s">
        <v>87</v>
      </c>
      <c r="F400" t="s">
        <v>48</v>
      </c>
      <c r="G400" t="s">
        <v>49</v>
      </c>
      <c r="H400" t="s">
        <v>75</v>
      </c>
      <c r="I400" t="s">
        <v>86</v>
      </c>
      <c r="J400" t="s">
        <v>70</v>
      </c>
      <c r="K400" t="s">
        <v>469</v>
      </c>
      <c r="L400" t="s">
        <v>470</v>
      </c>
      <c r="M400">
        <v>0</v>
      </c>
      <c r="N400">
        <v>15780194</v>
      </c>
      <c r="O400" t="s">
        <v>52</v>
      </c>
      <c r="P400" t="s">
        <v>474</v>
      </c>
    </row>
    <row r="401" spans="1:16" x14ac:dyDescent="0.3">
      <c r="A401" t="s">
        <v>698</v>
      </c>
      <c r="B401" t="s">
        <v>108</v>
      </c>
      <c r="C401" s="51">
        <v>46307.458333333336</v>
      </c>
      <c r="D401" s="51">
        <v>46306.42291666667</v>
      </c>
      <c r="E401" t="s">
        <v>87</v>
      </c>
      <c r="F401" t="s">
        <v>77</v>
      </c>
      <c r="G401" t="s">
        <v>107</v>
      </c>
      <c r="H401" t="s">
        <v>109</v>
      </c>
      <c r="I401" t="s">
        <v>122</v>
      </c>
      <c r="J401" t="s">
        <v>123</v>
      </c>
      <c r="K401" t="s">
        <v>475</v>
      </c>
      <c r="L401" t="s">
        <v>473</v>
      </c>
      <c r="M401">
        <v>11111</v>
      </c>
      <c r="O401" t="s">
        <v>56</v>
      </c>
      <c r="P401" t="s">
        <v>474</v>
      </c>
    </row>
    <row r="402" spans="1:16" x14ac:dyDescent="0.3">
      <c r="A402" t="s">
        <v>699</v>
      </c>
      <c r="B402" t="s">
        <v>120</v>
      </c>
      <c r="C402" s="51">
        <v>46308.916666666664</v>
      </c>
      <c r="D402" s="51">
        <v>46306.387499999997</v>
      </c>
      <c r="E402" t="s">
        <v>87</v>
      </c>
      <c r="F402" t="s">
        <v>48</v>
      </c>
      <c r="G402" t="s">
        <v>49</v>
      </c>
      <c r="H402" t="s">
        <v>121</v>
      </c>
      <c r="I402" t="s">
        <v>82</v>
      </c>
      <c r="J402" t="s">
        <v>51</v>
      </c>
      <c r="K402" t="s">
        <v>469</v>
      </c>
      <c r="L402" t="s">
        <v>470</v>
      </c>
      <c r="M402" t="s">
        <v>471</v>
      </c>
      <c r="O402" t="s">
        <v>52</v>
      </c>
      <c r="P402" t="s">
        <v>472</v>
      </c>
    </row>
    <row r="403" spans="1:16" x14ac:dyDescent="0.3">
      <c r="A403" t="s">
        <v>700</v>
      </c>
      <c r="B403" t="s">
        <v>120</v>
      </c>
      <c r="C403" s="51">
        <v>46309.9375</v>
      </c>
      <c r="D403" s="51">
        <v>46306.387499999997</v>
      </c>
      <c r="E403" t="s">
        <v>87</v>
      </c>
      <c r="F403" t="s">
        <v>48</v>
      </c>
      <c r="G403" t="s">
        <v>49</v>
      </c>
      <c r="H403" t="s">
        <v>121</v>
      </c>
      <c r="I403" t="s">
        <v>82</v>
      </c>
      <c r="J403" t="s">
        <v>51</v>
      </c>
      <c r="K403" t="s">
        <v>469</v>
      </c>
      <c r="L403" t="s">
        <v>470</v>
      </c>
      <c r="M403" t="s">
        <v>471</v>
      </c>
      <c r="N403">
        <v>15790006</v>
      </c>
      <c r="O403" t="s">
        <v>52</v>
      </c>
      <c r="P403" t="s">
        <v>472</v>
      </c>
    </row>
    <row r="404" spans="1:16" x14ac:dyDescent="0.3">
      <c r="A404" t="s">
        <v>701</v>
      </c>
      <c r="B404" t="s">
        <v>74</v>
      </c>
      <c r="C404" s="51">
        <v>46310.938194444447</v>
      </c>
      <c r="D404" s="51">
        <v>46306.361111111109</v>
      </c>
      <c r="E404" t="s">
        <v>87</v>
      </c>
      <c r="F404" t="s">
        <v>48</v>
      </c>
      <c r="G404" t="s">
        <v>49</v>
      </c>
      <c r="H404" t="s">
        <v>75</v>
      </c>
      <c r="I404" t="s">
        <v>76</v>
      </c>
      <c r="J404" t="s">
        <v>70</v>
      </c>
      <c r="K404" t="s">
        <v>469</v>
      </c>
      <c r="L404" t="s">
        <v>470</v>
      </c>
      <c r="M404" t="s">
        <v>471</v>
      </c>
      <c r="N404">
        <v>15790594</v>
      </c>
      <c r="O404" t="s">
        <v>52</v>
      </c>
      <c r="P404" t="s">
        <v>472</v>
      </c>
    </row>
    <row r="405" spans="1:16" x14ac:dyDescent="0.3">
      <c r="A405" t="s">
        <v>702</v>
      </c>
      <c r="B405" t="s">
        <v>74</v>
      </c>
      <c r="C405" s="51">
        <v>46308.916666666664</v>
      </c>
      <c r="D405" s="51">
        <v>46306.361111111109</v>
      </c>
      <c r="E405" t="s">
        <v>87</v>
      </c>
      <c r="F405" t="s">
        <v>48</v>
      </c>
      <c r="G405" t="s">
        <v>49</v>
      </c>
      <c r="H405" t="s">
        <v>75</v>
      </c>
      <c r="I405" t="s">
        <v>76</v>
      </c>
      <c r="J405" t="s">
        <v>70</v>
      </c>
      <c r="K405" t="s">
        <v>469</v>
      </c>
      <c r="L405" t="s">
        <v>470</v>
      </c>
      <c r="M405" t="s">
        <v>471</v>
      </c>
      <c r="O405" t="s">
        <v>52</v>
      </c>
      <c r="P405" t="s">
        <v>472</v>
      </c>
    </row>
    <row r="406" spans="1:16" x14ac:dyDescent="0.3">
      <c r="A406" t="s">
        <v>703</v>
      </c>
      <c r="B406" t="s">
        <v>152</v>
      </c>
      <c r="C406" s="51">
        <v>46309.486111111109</v>
      </c>
      <c r="D406" s="51">
        <v>46306.34652777778</v>
      </c>
      <c r="E406" t="s">
        <v>87</v>
      </c>
      <c r="F406" t="s">
        <v>53</v>
      </c>
      <c r="G406" t="s">
        <v>54</v>
      </c>
      <c r="H406" t="s">
        <v>63</v>
      </c>
      <c r="I406" t="s">
        <v>64</v>
      </c>
      <c r="J406" t="s">
        <v>65</v>
      </c>
      <c r="K406" t="s">
        <v>481</v>
      </c>
      <c r="L406" t="s">
        <v>473</v>
      </c>
      <c r="M406" t="s">
        <v>497</v>
      </c>
      <c r="O406" t="s">
        <v>503</v>
      </c>
      <c r="P406" t="s">
        <v>474</v>
      </c>
    </row>
    <row r="407" spans="1:16" x14ac:dyDescent="0.3">
      <c r="A407" t="s">
        <v>704</v>
      </c>
      <c r="B407" t="s">
        <v>67</v>
      </c>
      <c r="C407" s="51">
        <v>46310.9375</v>
      </c>
      <c r="D407" s="51">
        <v>46305.952777777777</v>
      </c>
      <c r="E407" t="s">
        <v>87</v>
      </c>
      <c r="F407" t="s">
        <v>48</v>
      </c>
      <c r="G407" t="s">
        <v>49</v>
      </c>
      <c r="H407" t="s">
        <v>68</v>
      </c>
      <c r="I407" t="s">
        <v>69</v>
      </c>
      <c r="J407" t="s">
        <v>70</v>
      </c>
      <c r="K407" t="s">
        <v>469</v>
      </c>
      <c r="L407" t="s">
        <v>470</v>
      </c>
      <c r="M407" t="s">
        <v>471</v>
      </c>
      <c r="N407">
        <v>15790412</v>
      </c>
      <c r="O407" t="s">
        <v>52</v>
      </c>
      <c r="P407" t="s">
        <v>472</v>
      </c>
    </row>
    <row r="408" spans="1:16" x14ac:dyDescent="0.3">
      <c r="A408" t="s">
        <v>705</v>
      </c>
      <c r="B408" t="s">
        <v>62</v>
      </c>
      <c r="C408" s="51">
        <v>46309.333333333336</v>
      </c>
      <c r="D408" s="51">
        <v>46305.952777777777</v>
      </c>
      <c r="E408" t="s">
        <v>87</v>
      </c>
      <c r="F408" t="s">
        <v>53</v>
      </c>
      <c r="G408" t="s">
        <v>54</v>
      </c>
      <c r="H408" t="s">
        <v>63</v>
      </c>
      <c r="I408" t="s">
        <v>64</v>
      </c>
      <c r="J408" t="s">
        <v>65</v>
      </c>
      <c r="K408" t="s">
        <v>481</v>
      </c>
      <c r="L408" t="s">
        <v>470</v>
      </c>
      <c r="M408" t="s">
        <v>471</v>
      </c>
      <c r="O408" t="s">
        <v>52</v>
      </c>
      <c r="P408" t="s">
        <v>472</v>
      </c>
    </row>
    <row r="409" spans="1:16" x14ac:dyDescent="0.3">
      <c r="A409" t="s">
        <v>706</v>
      </c>
      <c r="B409" t="s">
        <v>108</v>
      </c>
      <c r="C409" s="51">
        <v>46306.958333333336</v>
      </c>
      <c r="D409" s="51">
        <v>46305.92291666667</v>
      </c>
      <c r="E409" t="s">
        <v>87</v>
      </c>
      <c r="F409" t="s">
        <v>77</v>
      </c>
      <c r="G409" t="s">
        <v>107</v>
      </c>
      <c r="H409" t="s">
        <v>109</v>
      </c>
      <c r="I409" t="s">
        <v>122</v>
      </c>
      <c r="J409" t="s">
        <v>123</v>
      </c>
      <c r="K409" t="s">
        <v>475</v>
      </c>
      <c r="L409" t="s">
        <v>473</v>
      </c>
      <c r="M409" t="s">
        <v>480</v>
      </c>
      <c r="O409" t="s">
        <v>503</v>
      </c>
      <c r="P409" t="s">
        <v>474</v>
      </c>
    </row>
    <row r="410" spans="1:16" x14ac:dyDescent="0.3">
      <c r="A410" t="s">
        <v>707</v>
      </c>
      <c r="B410" t="s">
        <v>47</v>
      </c>
      <c r="C410" s="51">
        <v>46310.9375</v>
      </c>
      <c r="D410" s="51">
        <v>46305.892361111109</v>
      </c>
      <c r="E410" t="s">
        <v>87</v>
      </c>
      <c r="F410" t="s">
        <v>48</v>
      </c>
      <c r="G410" t="s">
        <v>49</v>
      </c>
      <c r="H410" t="s">
        <v>50</v>
      </c>
      <c r="I410" t="s">
        <v>66</v>
      </c>
      <c r="J410" t="s">
        <v>51</v>
      </c>
      <c r="K410" t="s">
        <v>469</v>
      </c>
      <c r="L410" t="s">
        <v>470</v>
      </c>
      <c r="M410" t="s">
        <v>471</v>
      </c>
      <c r="N410">
        <v>15790010</v>
      </c>
      <c r="O410" t="s">
        <v>52</v>
      </c>
      <c r="P410" t="s">
        <v>472</v>
      </c>
    </row>
    <row r="411" spans="1:16" x14ac:dyDescent="0.3">
      <c r="A411" t="s">
        <v>708</v>
      </c>
      <c r="B411" t="s">
        <v>74</v>
      </c>
      <c r="C411" s="51">
        <v>46309.9375</v>
      </c>
      <c r="D411" s="51">
        <v>46305.736805555556</v>
      </c>
      <c r="E411" t="s">
        <v>87</v>
      </c>
      <c r="F411" t="s">
        <v>48</v>
      </c>
      <c r="G411" t="s">
        <v>49</v>
      </c>
      <c r="H411" t="s">
        <v>75</v>
      </c>
      <c r="I411" t="s">
        <v>86</v>
      </c>
      <c r="J411" t="s">
        <v>70</v>
      </c>
      <c r="K411" t="s">
        <v>469</v>
      </c>
      <c r="L411" t="s">
        <v>470</v>
      </c>
      <c r="M411" t="s">
        <v>471</v>
      </c>
      <c r="N411">
        <v>15789996</v>
      </c>
      <c r="O411" t="s">
        <v>52</v>
      </c>
      <c r="P411" t="s">
        <v>472</v>
      </c>
    </row>
    <row r="412" spans="1:16" x14ac:dyDescent="0.3">
      <c r="A412" t="s">
        <v>709</v>
      </c>
      <c r="B412" t="s">
        <v>74</v>
      </c>
      <c r="C412" s="51">
        <v>46308.875</v>
      </c>
      <c r="D412" s="51">
        <v>46305.736805555556</v>
      </c>
      <c r="E412" t="s">
        <v>87</v>
      </c>
      <c r="F412" t="s">
        <v>48</v>
      </c>
      <c r="G412" t="s">
        <v>49</v>
      </c>
      <c r="H412" t="s">
        <v>75</v>
      </c>
      <c r="I412" t="s">
        <v>76</v>
      </c>
      <c r="J412" t="s">
        <v>70</v>
      </c>
      <c r="K412" t="s">
        <v>469</v>
      </c>
      <c r="L412" t="s">
        <v>470</v>
      </c>
      <c r="M412" t="s">
        <v>471</v>
      </c>
      <c r="O412" t="s">
        <v>52</v>
      </c>
      <c r="P412" t="s">
        <v>472</v>
      </c>
    </row>
    <row r="413" spans="1:16" x14ac:dyDescent="0.3">
      <c r="A413" t="s">
        <v>710</v>
      </c>
      <c r="B413" t="s">
        <v>71</v>
      </c>
      <c r="C413" s="51">
        <v>46308.833333333336</v>
      </c>
      <c r="D413" s="51">
        <v>46305.689583333333</v>
      </c>
      <c r="E413" t="s">
        <v>87</v>
      </c>
      <c r="F413" t="s">
        <v>48</v>
      </c>
      <c r="G413" t="s">
        <v>49</v>
      </c>
      <c r="H413" t="s">
        <v>72</v>
      </c>
      <c r="I413" t="s">
        <v>73</v>
      </c>
      <c r="J413" t="s">
        <v>70</v>
      </c>
      <c r="K413" t="s">
        <v>469</v>
      </c>
      <c r="L413" t="s">
        <v>470</v>
      </c>
      <c r="M413" t="s">
        <v>471</v>
      </c>
      <c r="O413" t="s">
        <v>52</v>
      </c>
      <c r="P413" t="s">
        <v>472</v>
      </c>
    </row>
    <row r="414" spans="1:16" x14ac:dyDescent="0.3">
      <c r="A414" t="s">
        <v>711</v>
      </c>
      <c r="B414" t="s">
        <v>71</v>
      </c>
      <c r="C414" s="51">
        <v>46308.9375</v>
      </c>
      <c r="D414" s="51">
        <v>46305.689583333333</v>
      </c>
      <c r="E414" t="s">
        <v>87</v>
      </c>
      <c r="F414" t="s">
        <v>48</v>
      </c>
      <c r="G414" t="s">
        <v>49</v>
      </c>
      <c r="H414" t="s">
        <v>72</v>
      </c>
      <c r="I414" t="s">
        <v>73</v>
      </c>
      <c r="J414" t="s">
        <v>70</v>
      </c>
      <c r="K414" t="s">
        <v>469</v>
      </c>
      <c r="L414" t="s">
        <v>470</v>
      </c>
      <c r="M414" t="s">
        <v>471</v>
      </c>
      <c r="N414">
        <v>15785812</v>
      </c>
      <c r="O414" t="s">
        <v>52</v>
      </c>
      <c r="P414" t="s">
        <v>472</v>
      </c>
    </row>
    <row r="415" spans="1:16" x14ac:dyDescent="0.3">
      <c r="A415" t="s">
        <v>712</v>
      </c>
      <c r="B415" t="s">
        <v>74</v>
      </c>
      <c r="C415" s="51">
        <v>46310.938194444447</v>
      </c>
      <c r="D415" s="51">
        <v>46305.666666666664</v>
      </c>
      <c r="E415" t="s">
        <v>87</v>
      </c>
      <c r="F415" t="s">
        <v>48</v>
      </c>
      <c r="G415" t="s">
        <v>49</v>
      </c>
      <c r="H415" t="s">
        <v>75</v>
      </c>
      <c r="I415" t="s">
        <v>86</v>
      </c>
      <c r="J415" t="s">
        <v>70</v>
      </c>
      <c r="K415" t="s">
        <v>469</v>
      </c>
      <c r="L415" t="s">
        <v>470</v>
      </c>
      <c r="M415" t="s">
        <v>471</v>
      </c>
      <c r="N415">
        <v>15789604</v>
      </c>
      <c r="O415" t="s">
        <v>52</v>
      </c>
      <c r="P415" t="s">
        <v>472</v>
      </c>
    </row>
    <row r="416" spans="1:16" x14ac:dyDescent="0.3">
      <c r="A416" t="s">
        <v>713</v>
      </c>
      <c r="B416" t="s">
        <v>67</v>
      </c>
      <c r="C416" s="51">
        <v>46308.833333333336</v>
      </c>
      <c r="D416" s="51">
        <v>46305.666666666664</v>
      </c>
      <c r="E416" t="s">
        <v>87</v>
      </c>
      <c r="F416" t="s">
        <v>48</v>
      </c>
      <c r="G416" t="s">
        <v>49</v>
      </c>
      <c r="H416" t="s">
        <v>68</v>
      </c>
      <c r="I416" t="s">
        <v>69</v>
      </c>
      <c r="J416" t="s">
        <v>70</v>
      </c>
      <c r="K416" t="s">
        <v>469</v>
      </c>
      <c r="L416" t="s">
        <v>470</v>
      </c>
      <c r="M416" t="s">
        <v>471</v>
      </c>
      <c r="O416" t="s">
        <v>52</v>
      </c>
      <c r="P416" t="s">
        <v>472</v>
      </c>
    </row>
    <row r="417" spans="1:16" x14ac:dyDescent="0.3">
      <c r="A417" t="s">
        <v>714</v>
      </c>
      <c r="B417" t="s">
        <v>74</v>
      </c>
      <c r="C417" s="51">
        <v>46308.833333333336</v>
      </c>
      <c r="D417" s="51">
        <v>46305.604166666664</v>
      </c>
      <c r="E417" t="s">
        <v>87</v>
      </c>
      <c r="F417" t="s">
        <v>48</v>
      </c>
      <c r="G417" t="s">
        <v>49</v>
      </c>
      <c r="H417" t="s">
        <v>75</v>
      </c>
      <c r="I417" t="s">
        <v>86</v>
      </c>
      <c r="J417" t="s">
        <v>70</v>
      </c>
      <c r="K417" t="s">
        <v>469</v>
      </c>
      <c r="L417" t="s">
        <v>470</v>
      </c>
      <c r="M417" t="s">
        <v>471</v>
      </c>
      <c r="O417" t="s">
        <v>52</v>
      </c>
      <c r="P417" t="s">
        <v>472</v>
      </c>
    </row>
    <row r="418" spans="1:16" x14ac:dyDescent="0.3">
      <c r="A418" t="s">
        <v>715</v>
      </c>
      <c r="B418" t="s">
        <v>74</v>
      </c>
      <c r="C418" s="51">
        <v>46309.9375</v>
      </c>
      <c r="D418" s="51">
        <v>46305.604166666664</v>
      </c>
      <c r="E418" t="s">
        <v>87</v>
      </c>
      <c r="F418" t="s">
        <v>48</v>
      </c>
      <c r="G418" t="s">
        <v>49</v>
      </c>
      <c r="H418" t="s">
        <v>75</v>
      </c>
      <c r="I418" t="s">
        <v>86</v>
      </c>
      <c r="J418" t="s">
        <v>70</v>
      </c>
      <c r="K418" t="s">
        <v>469</v>
      </c>
      <c r="L418" t="s">
        <v>470</v>
      </c>
      <c r="M418" t="s">
        <v>471</v>
      </c>
      <c r="N418">
        <v>15790014</v>
      </c>
      <c r="O418" t="s">
        <v>52</v>
      </c>
      <c r="P418" t="s">
        <v>472</v>
      </c>
    </row>
    <row r="419" spans="1:16" x14ac:dyDescent="0.3">
      <c r="A419" t="s">
        <v>716</v>
      </c>
      <c r="B419" t="s">
        <v>124</v>
      </c>
      <c r="C419" s="51">
        <v>46306.625</v>
      </c>
      <c r="D419" s="51">
        <v>46305.586805555555</v>
      </c>
      <c r="E419" t="s">
        <v>87</v>
      </c>
      <c r="F419" t="s">
        <v>77</v>
      </c>
      <c r="G419" t="s">
        <v>107</v>
      </c>
      <c r="H419" t="s">
        <v>125</v>
      </c>
      <c r="I419" t="s">
        <v>122</v>
      </c>
      <c r="J419" t="s">
        <v>126</v>
      </c>
      <c r="K419" t="s">
        <v>475</v>
      </c>
      <c r="L419" t="s">
        <v>473</v>
      </c>
      <c r="M419">
        <v>0</v>
      </c>
      <c r="O419" t="s">
        <v>503</v>
      </c>
      <c r="P419" t="s">
        <v>474</v>
      </c>
    </row>
    <row r="420" spans="1:16" x14ac:dyDescent="0.3">
      <c r="A420" t="s">
        <v>717</v>
      </c>
      <c r="B420" t="s">
        <v>118</v>
      </c>
      <c r="C420" s="51">
        <v>46306.583333333336</v>
      </c>
      <c r="D420" s="51">
        <v>46305.569444444445</v>
      </c>
      <c r="E420" t="s">
        <v>87</v>
      </c>
      <c r="F420" t="s">
        <v>77</v>
      </c>
      <c r="G420" t="s">
        <v>107</v>
      </c>
      <c r="H420" t="s">
        <v>119</v>
      </c>
      <c r="I420" t="s">
        <v>91</v>
      </c>
      <c r="J420" t="s">
        <v>88</v>
      </c>
      <c r="K420" t="s">
        <v>475</v>
      </c>
      <c r="L420" t="s">
        <v>473</v>
      </c>
      <c r="M420">
        <v>0</v>
      </c>
      <c r="O420" t="s">
        <v>503</v>
      </c>
      <c r="P420" t="s">
        <v>474</v>
      </c>
    </row>
    <row r="421" spans="1:16" x14ac:dyDescent="0.3">
      <c r="A421" t="s">
        <v>718</v>
      </c>
      <c r="B421" t="s">
        <v>79</v>
      </c>
      <c r="C421" s="51">
        <v>46306.583333333336</v>
      </c>
      <c r="D421" s="51">
        <v>46305.568749999999</v>
      </c>
      <c r="E421" t="s">
        <v>87</v>
      </c>
      <c r="F421" t="s">
        <v>77</v>
      </c>
      <c r="G421" t="s">
        <v>78</v>
      </c>
      <c r="H421" t="s">
        <v>80</v>
      </c>
      <c r="I421" t="s">
        <v>81</v>
      </c>
      <c r="J421" t="s">
        <v>167</v>
      </c>
      <c r="K421" t="s">
        <v>482</v>
      </c>
      <c r="L421" t="s">
        <v>473</v>
      </c>
      <c r="M421" t="s">
        <v>480</v>
      </c>
      <c r="O421" t="s">
        <v>503</v>
      </c>
      <c r="P421" t="s">
        <v>474</v>
      </c>
    </row>
    <row r="422" spans="1:16" x14ac:dyDescent="0.3">
      <c r="A422" t="s">
        <v>719</v>
      </c>
      <c r="B422" t="s">
        <v>79</v>
      </c>
      <c r="C422" s="51">
        <v>46306.583333333336</v>
      </c>
      <c r="D422" s="51">
        <v>46305.561111111114</v>
      </c>
      <c r="E422" t="s">
        <v>87</v>
      </c>
      <c r="F422" t="s">
        <v>77</v>
      </c>
      <c r="G422" t="s">
        <v>78</v>
      </c>
      <c r="H422" t="s">
        <v>80</v>
      </c>
      <c r="I422" t="s">
        <v>81</v>
      </c>
      <c r="J422" t="s">
        <v>93</v>
      </c>
      <c r="K422" t="s">
        <v>482</v>
      </c>
      <c r="L422" t="s">
        <v>473</v>
      </c>
      <c r="M422" t="s">
        <v>489</v>
      </c>
      <c r="O422" t="s">
        <v>503</v>
      </c>
      <c r="P422" t="s">
        <v>474</v>
      </c>
    </row>
    <row r="423" spans="1:16" x14ac:dyDescent="0.3">
      <c r="A423" t="s">
        <v>720</v>
      </c>
      <c r="B423" t="s">
        <v>118</v>
      </c>
      <c r="C423" s="51">
        <v>46306.583333333336</v>
      </c>
      <c r="D423" s="51">
        <v>46305.560416666667</v>
      </c>
      <c r="E423" t="s">
        <v>87</v>
      </c>
      <c r="F423" t="s">
        <v>77</v>
      </c>
      <c r="G423" t="s">
        <v>107</v>
      </c>
      <c r="H423" t="s">
        <v>119</v>
      </c>
      <c r="I423" t="s">
        <v>91</v>
      </c>
      <c r="J423" t="s">
        <v>88</v>
      </c>
      <c r="K423" t="s">
        <v>475</v>
      </c>
      <c r="L423" t="s">
        <v>473</v>
      </c>
      <c r="M423" t="s">
        <v>476</v>
      </c>
      <c r="O423" t="s">
        <v>503</v>
      </c>
      <c r="P423" t="s">
        <v>474</v>
      </c>
    </row>
    <row r="424" spans="1:16" x14ac:dyDescent="0.3">
      <c r="A424" t="s">
        <v>721</v>
      </c>
      <c r="B424" t="s">
        <v>71</v>
      </c>
      <c r="C424" s="51">
        <v>46308.791666666664</v>
      </c>
      <c r="D424" s="51">
        <v>46305.536805555559</v>
      </c>
      <c r="E424" t="s">
        <v>87</v>
      </c>
      <c r="F424" t="s">
        <v>48</v>
      </c>
      <c r="G424" t="s">
        <v>49</v>
      </c>
      <c r="H424" t="s">
        <v>72</v>
      </c>
      <c r="I424" t="s">
        <v>73</v>
      </c>
      <c r="J424" t="s">
        <v>70</v>
      </c>
      <c r="K424" t="s">
        <v>469</v>
      </c>
      <c r="L424" t="s">
        <v>470</v>
      </c>
      <c r="M424" t="s">
        <v>471</v>
      </c>
      <c r="O424" t="s">
        <v>52</v>
      </c>
      <c r="P424" t="s">
        <v>472</v>
      </c>
    </row>
    <row r="425" spans="1:16" x14ac:dyDescent="0.3">
      <c r="A425" t="s">
        <v>722</v>
      </c>
      <c r="B425" t="s">
        <v>71</v>
      </c>
      <c r="C425" s="51">
        <v>46310.938194444447</v>
      </c>
      <c r="D425" s="51">
        <v>46305.535416666666</v>
      </c>
      <c r="E425" t="s">
        <v>87</v>
      </c>
      <c r="F425" t="s">
        <v>48</v>
      </c>
      <c r="G425" t="s">
        <v>49</v>
      </c>
      <c r="H425" t="s">
        <v>72</v>
      </c>
      <c r="I425" t="s">
        <v>73</v>
      </c>
      <c r="J425" t="s">
        <v>70</v>
      </c>
      <c r="K425" t="s">
        <v>469</v>
      </c>
      <c r="L425" t="s">
        <v>470</v>
      </c>
      <c r="M425" t="s">
        <v>471</v>
      </c>
      <c r="N425">
        <v>15789608</v>
      </c>
      <c r="O425" t="s">
        <v>52</v>
      </c>
      <c r="P425" t="s">
        <v>472</v>
      </c>
    </row>
    <row r="426" spans="1:16" x14ac:dyDescent="0.3">
      <c r="A426" t="s">
        <v>723</v>
      </c>
      <c r="B426" t="s">
        <v>71</v>
      </c>
      <c r="C426" s="51">
        <v>46308.791666666664</v>
      </c>
      <c r="D426" s="51">
        <v>46305.497916666667</v>
      </c>
      <c r="E426" t="s">
        <v>87</v>
      </c>
      <c r="F426" t="s">
        <v>48</v>
      </c>
      <c r="G426" t="s">
        <v>49</v>
      </c>
      <c r="H426" t="s">
        <v>72</v>
      </c>
      <c r="I426" t="s">
        <v>73</v>
      </c>
      <c r="J426" t="s">
        <v>70</v>
      </c>
      <c r="K426" t="s">
        <v>469</v>
      </c>
      <c r="L426" t="s">
        <v>470</v>
      </c>
      <c r="M426" t="s">
        <v>471</v>
      </c>
      <c r="O426" t="s">
        <v>52</v>
      </c>
      <c r="P426" t="s">
        <v>472</v>
      </c>
    </row>
    <row r="427" spans="1:16" x14ac:dyDescent="0.3">
      <c r="A427" t="s">
        <v>724</v>
      </c>
      <c r="B427" t="s">
        <v>71</v>
      </c>
      <c r="C427" s="51">
        <v>46310.938194444447</v>
      </c>
      <c r="D427" s="51">
        <v>46305.496527777781</v>
      </c>
      <c r="E427" t="s">
        <v>87</v>
      </c>
      <c r="F427" t="s">
        <v>48</v>
      </c>
      <c r="G427" t="s">
        <v>49</v>
      </c>
      <c r="H427" t="s">
        <v>72</v>
      </c>
      <c r="I427" t="s">
        <v>73</v>
      </c>
      <c r="J427" t="s">
        <v>70</v>
      </c>
      <c r="K427" t="s">
        <v>469</v>
      </c>
      <c r="L427" t="s">
        <v>470</v>
      </c>
      <c r="M427" t="s">
        <v>471</v>
      </c>
      <c r="N427">
        <v>15789610</v>
      </c>
      <c r="O427" t="s">
        <v>52</v>
      </c>
      <c r="P427" t="s">
        <v>472</v>
      </c>
    </row>
    <row r="428" spans="1:16" x14ac:dyDescent="0.3">
      <c r="A428" t="s">
        <v>725</v>
      </c>
      <c r="B428" t="s">
        <v>67</v>
      </c>
      <c r="C428" s="51">
        <v>46308.875</v>
      </c>
      <c r="D428" s="51">
        <v>46305.490972222222</v>
      </c>
      <c r="E428" t="s">
        <v>87</v>
      </c>
      <c r="F428" t="s">
        <v>48</v>
      </c>
      <c r="G428" t="s">
        <v>49</v>
      </c>
      <c r="H428" t="s">
        <v>68</v>
      </c>
      <c r="I428" t="s">
        <v>69</v>
      </c>
      <c r="J428" t="s">
        <v>70</v>
      </c>
      <c r="K428" t="s">
        <v>469</v>
      </c>
      <c r="L428" t="s">
        <v>470</v>
      </c>
      <c r="M428" t="s">
        <v>471</v>
      </c>
      <c r="O428" t="s">
        <v>52</v>
      </c>
      <c r="P428" t="s">
        <v>472</v>
      </c>
    </row>
    <row r="429" spans="1:16" x14ac:dyDescent="0.3">
      <c r="A429" t="s">
        <v>726</v>
      </c>
      <c r="B429" t="s">
        <v>67</v>
      </c>
      <c r="C429" s="51">
        <v>46309.938194444447</v>
      </c>
      <c r="D429" s="51">
        <v>46305.490972222222</v>
      </c>
      <c r="E429" t="s">
        <v>87</v>
      </c>
      <c r="F429" t="s">
        <v>48</v>
      </c>
      <c r="G429" t="s">
        <v>49</v>
      </c>
      <c r="H429" t="s">
        <v>68</v>
      </c>
      <c r="I429" t="s">
        <v>69</v>
      </c>
      <c r="J429" t="s">
        <v>70</v>
      </c>
      <c r="K429" t="s">
        <v>469</v>
      </c>
      <c r="L429" t="s">
        <v>470</v>
      </c>
      <c r="M429" t="s">
        <v>471</v>
      </c>
      <c r="N429">
        <v>15790004</v>
      </c>
      <c r="O429" t="s">
        <v>52</v>
      </c>
      <c r="P429" t="s">
        <v>472</v>
      </c>
    </row>
    <row r="430" spans="1:16" x14ac:dyDescent="0.3">
      <c r="A430" t="s">
        <v>727</v>
      </c>
      <c r="B430" t="s">
        <v>108</v>
      </c>
      <c r="C430" s="51">
        <v>46306.5</v>
      </c>
      <c r="D430" s="51">
        <v>46305.479861111111</v>
      </c>
      <c r="E430" t="s">
        <v>87</v>
      </c>
      <c r="F430" t="s">
        <v>77</v>
      </c>
      <c r="G430" t="s">
        <v>107</v>
      </c>
      <c r="H430" t="s">
        <v>109</v>
      </c>
      <c r="I430" t="s">
        <v>122</v>
      </c>
      <c r="J430" t="s">
        <v>123</v>
      </c>
      <c r="K430" t="s">
        <v>475</v>
      </c>
      <c r="L430" t="s">
        <v>473</v>
      </c>
      <c r="M430">
        <v>0</v>
      </c>
      <c r="O430" t="s">
        <v>503</v>
      </c>
      <c r="P430" t="s">
        <v>474</v>
      </c>
    </row>
    <row r="431" spans="1:16" x14ac:dyDescent="0.3">
      <c r="A431" t="s">
        <v>728</v>
      </c>
      <c r="B431" t="s">
        <v>124</v>
      </c>
      <c r="C431" s="51">
        <v>46306.5</v>
      </c>
      <c r="D431" s="51">
        <v>46305.463888888888</v>
      </c>
      <c r="E431" t="s">
        <v>87</v>
      </c>
      <c r="F431" t="s">
        <v>77</v>
      </c>
      <c r="G431" t="s">
        <v>107</v>
      </c>
      <c r="H431" t="s">
        <v>125</v>
      </c>
      <c r="I431" t="s">
        <v>122</v>
      </c>
      <c r="J431" t="s">
        <v>126</v>
      </c>
      <c r="K431" t="s">
        <v>475</v>
      </c>
      <c r="L431" t="s">
        <v>473</v>
      </c>
      <c r="M431" t="s">
        <v>483</v>
      </c>
      <c r="O431" t="s">
        <v>503</v>
      </c>
      <c r="P431" t="s">
        <v>474</v>
      </c>
    </row>
    <row r="432" spans="1:16" x14ac:dyDescent="0.3">
      <c r="A432" t="s">
        <v>729</v>
      </c>
      <c r="B432" t="s">
        <v>124</v>
      </c>
      <c r="C432" s="51">
        <v>46306.416666666664</v>
      </c>
      <c r="D432" s="51">
        <v>46305.400694444441</v>
      </c>
      <c r="E432" t="s">
        <v>87</v>
      </c>
      <c r="F432" t="s">
        <v>77</v>
      </c>
      <c r="G432" t="s">
        <v>107</v>
      </c>
      <c r="H432" t="s">
        <v>125</v>
      </c>
      <c r="I432" t="s">
        <v>122</v>
      </c>
      <c r="J432" t="s">
        <v>126</v>
      </c>
      <c r="K432" t="s">
        <v>475</v>
      </c>
      <c r="L432" t="s">
        <v>473</v>
      </c>
      <c r="M432" t="s">
        <v>478</v>
      </c>
      <c r="O432" t="s">
        <v>503</v>
      </c>
      <c r="P432" t="s">
        <v>474</v>
      </c>
    </row>
    <row r="433" spans="1:16" x14ac:dyDescent="0.3">
      <c r="A433" t="s">
        <v>730</v>
      </c>
      <c r="B433" t="s">
        <v>168</v>
      </c>
      <c r="C433" s="51">
        <v>46306.416666666664</v>
      </c>
      <c r="D433" s="51">
        <v>46305.397916666669</v>
      </c>
      <c r="E433" t="s">
        <v>87</v>
      </c>
      <c r="F433" t="s">
        <v>53</v>
      </c>
      <c r="G433" t="s">
        <v>54</v>
      </c>
      <c r="H433" t="s">
        <v>169</v>
      </c>
      <c r="I433" t="s">
        <v>170</v>
      </c>
      <c r="J433" t="s">
        <v>171</v>
      </c>
      <c r="K433" t="s">
        <v>481</v>
      </c>
      <c r="L433" t="s">
        <v>473</v>
      </c>
      <c r="M433" t="s">
        <v>480</v>
      </c>
      <c r="O433" t="s">
        <v>503</v>
      </c>
      <c r="P433" t="s">
        <v>474</v>
      </c>
    </row>
    <row r="434" spans="1:16" x14ac:dyDescent="0.3">
      <c r="A434" t="s">
        <v>731</v>
      </c>
      <c r="B434" t="s">
        <v>124</v>
      </c>
      <c r="C434" s="51">
        <v>46306.333333333336</v>
      </c>
      <c r="D434" s="51">
        <v>46305.292361111111</v>
      </c>
      <c r="E434" t="s">
        <v>87</v>
      </c>
      <c r="F434" t="s">
        <v>77</v>
      </c>
      <c r="G434" t="s">
        <v>107</v>
      </c>
      <c r="H434" t="s">
        <v>125</v>
      </c>
      <c r="I434" t="s">
        <v>122</v>
      </c>
      <c r="J434" t="s">
        <v>126</v>
      </c>
      <c r="K434" t="s">
        <v>475</v>
      </c>
      <c r="L434" t="s">
        <v>473</v>
      </c>
      <c r="M434" t="s">
        <v>524</v>
      </c>
      <c r="O434" t="s">
        <v>503</v>
      </c>
      <c r="P434" t="s">
        <v>474</v>
      </c>
    </row>
    <row r="435" spans="1:16" x14ac:dyDescent="0.3">
      <c r="A435" t="s">
        <v>732</v>
      </c>
      <c r="B435" t="s">
        <v>124</v>
      </c>
      <c r="C435" s="51">
        <v>46306.291666666664</v>
      </c>
      <c r="D435" s="51">
        <v>46305.268750000003</v>
      </c>
      <c r="E435" t="s">
        <v>87</v>
      </c>
      <c r="F435" t="s">
        <v>77</v>
      </c>
      <c r="G435" t="s">
        <v>107</v>
      </c>
      <c r="H435" t="s">
        <v>125</v>
      </c>
      <c r="I435" t="s">
        <v>122</v>
      </c>
      <c r="J435" t="s">
        <v>126</v>
      </c>
      <c r="K435" t="s">
        <v>475</v>
      </c>
      <c r="L435" t="s">
        <v>473</v>
      </c>
      <c r="M435">
        <v>0</v>
      </c>
      <c r="O435" t="s">
        <v>503</v>
      </c>
      <c r="P435" t="s">
        <v>474</v>
      </c>
    </row>
    <row r="436" spans="1:16" x14ac:dyDescent="0.3">
      <c r="A436" t="s">
        <v>733</v>
      </c>
      <c r="B436" t="s">
        <v>74</v>
      </c>
      <c r="C436" s="51">
        <v>46308.833333333336</v>
      </c>
      <c r="D436" s="51">
        <v>46305.038194444445</v>
      </c>
      <c r="E436" t="s">
        <v>87</v>
      </c>
      <c r="F436" t="s">
        <v>48</v>
      </c>
      <c r="G436" t="s">
        <v>49</v>
      </c>
      <c r="H436" t="s">
        <v>75</v>
      </c>
      <c r="I436" t="s">
        <v>86</v>
      </c>
      <c r="J436" t="s">
        <v>70</v>
      </c>
      <c r="K436" t="s">
        <v>469</v>
      </c>
      <c r="L436" t="s">
        <v>470</v>
      </c>
      <c r="M436" t="s">
        <v>471</v>
      </c>
      <c r="O436" t="s">
        <v>52</v>
      </c>
      <c r="P436" t="s">
        <v>472</v>
      </c>
    </row>
    <row r="437" spans="1:16" x14ac:dyDescent="0.3">
      <c r="A437" t="s">
        <v>734</v>
      </c>
      <c r="B437" t="s">
        <v>74</v>
      </c>
      <c r="C437" s="51">
        <v>46310.938194444447</v>
      </c>
      <c r="D437" s="51">
        <v>46305.038194444445</v>
      </c>
      <c r="E437" t="s">
        <v>87</v>
      </c>
      <c r="F437" t="s">
        <v>48</v>
      </c>
      <c r="G437" t="s">
        <v>49</v>
      </c>
      <c r="H437" t="s">
        <v>75</v>
      </c>
      <c r="I437" t="s">
        <v>86</v>
      </c>
      <c r="J437" t="s">
        <v>70</v>
      </c>
      <c r="K437" t="s">
        <v>469</v>
      </c>
      <c r="L437" t="s">
        <v>470</v>
      </c>
      <c r="M437" t="s">
        <v>471</v>
      </c>
      <c r="N437">
        <v>15790012</v>
      </c>
      <c r="O437" t="s">
        <v>52</v>
      </c>
      <c r="P437" t="s">
        <v>472</v>
      </c>
    </row>
    <row r="438" spans="1:16" x14ac:dyDescent="0.3">
      <c r="A438" t="s">
        <v>735</v>
      </c>
      <c r="B438" t="s">
        <v>108</v>
      </c>
      <c r="C438" s="51">
        <v>46305.875</v>
      </c>
      <c r="D438" s="51">
        <v>46304.82916666667</v>
      </c>
      <c r="E438" t="s">
        <v>87</v>
      </c>
      <c r="F438" t="s">
        <v>77</v>
      </c>
      <c r="G438" t="s">
        <v>107</v>
      </c>
      <c r="H438" t="s">
        <v>109</v>
      </c>
      <c r="I438" t="s">
        <v>122</v>
      </c>
      <c r="J438" t="s">
        <v>123</v>
      </c>
      <c r="K438" t="s">
        <v>475</v>
      </c>
      <c r="L438" t="s">
        <v>473</v>
      </c>
      <c r="M438" t="s">
        <v>478</v>
      </c>
      <c r="O438" t="s">
        <v>503</v>
      </c>
      <c r="P438" t="s">
        <v>474</v>
      </c>
    </row>
    <row r="439" spans="1:16" x14ac:dyDescent="0.3">
      <c r="A439" t="s">
        <v>736</v>
      </c>
      <c r="B439" t="s">
        <v>74</v>
      </c>
      <c r="C439" s="51">
        <v>46308.791666666664</v>
      </c>
      <c r="D439" s="51">
        <v>46304.800000000003</v>
      </c>
      <c r="E439" t="s">
        <v>87</v>
      </c>
      <c r="F439" t="s">
        <v>48</v>
      </c>
      <c r="G439" t="s">
        <v>49</v>
      </c>
      <c r="H439" t="s">
        <v>75</v>
      </c>
      <c r="I439" t="s">
        <v>76</v>
      </c>
      <c r="J439" t="s">
        <v>70</v>
      </c>
      <c r="K439" t="s">
        <v>469</v>
      </c>
      <c r="L439" t="s">
        <v>470</v>
      </c>
      <c r="M439" t="s">
        <v>471</v>
      </c>
      <c r="O439" t="s">
        <v>52</v>
      </c>
      <c r="P439" t="s">
        <v>472</v>
      </c>
    </row>
    <row r="440" spans="1:16" x14ac:dyDescent="0.3">
      <c r="A440" t="s">
        <v>737</v>
      </c>
      <c r="B440" t="s">
        <v>74</v>
      </c>
      <c r="C440" s="51">
        <v>46309.9375</v>
      </c>
      <c r="D440" s="51">
        <v>46304.798611111109</v>
      </c>
      <c r="E440" t="s">
        <v>87</v>
      </c>
      <c r="F440" t="s">
        <v>48</v>
      </c>
      <c r="G440" t="s">
        <v>49</v>
      </c>
      <c r="H440" t="s">
        <v>75</v>
      </c>
      <c r="I440" t="s">
        <v>76</v>
      </c>
      <c r="J440" t="s">
        <v>70</v>
      </c>
      <c r="K440" t="s">
        <v>469</v>
      </c>
      <c r="L440" t="s">
        <v>470</v>
      </c>
      <c r="M440" t="s">
        <v>471</v>
      </c>
      <c r="N440">
        <v>15789606</v>
      </c>
      <c r="O440" t="s">
        <v>52</v>
      </c>
      <c r="P440" t="s">
        <v>472</v>
      </c>
    </row>
    <row r="441" spans="1:16" x14ac:dyDescent="0.3">
      <c r="A441" t="s">
        <v>738</v>
      </c>
      <c r="B441" t="s">
        <v>137</v>
      </c>
      <c r="C441" s="51">
        <v>46305.791666666664</v>
      </c>
      <c r="D441" s="51">
        <v>46304.770138888889</v>
      </c>
      <c r="E441" t="s">
        <v>87</v>
      </c>
      <c r="F441" t="s">
        <v>53</v>
      </c>
      <c r="G441" t="s">
        <v>54</v>
      </c>
      <c r="H441" t="s">
        <v>138</v>
      </c>
      <c r="I441" t="s">
        <v>166</v>
      </c>
      <c r="J441" t="s">
        <v>55</v>
      </c>
      <c r="K441" t="s">
        <v>481</v>
      </c>
      <c r="L441" t="s">
        <v>473</v>
      </c>
      <c r="M441" t="s">
        <v>480</v>
      </c>
      <c r="O441" t="s">
        <v>129</v>
      </c>
      <c r="P441" t="s">
        <v>474</v>
      </c>
    </row>
    <row r="442" spans="1:16" x14ac:dyDescent="0.3">
      <c r="A442" t="s">
        <v>739</v>
      </c>
      <c r="B442" t="s">
        <v>57</v>
      </c>
      <c r="C442" s="51">
        <v>46308.583333333336</v>
      </c>
      <c r="D442" s="51">
        <v>46304.729861111111</v>
      </c>
      <c r="E442" t="s">
        <v>87</v>
      </c>
      <c r="F442" t="s">
        <v>58</v>
      </c>
      <c r="G442" t="s">
        <v>59</v>
      </c>
      <c r="H442" t="s">
        <v>60</v>
      </c>
      <c r="I442" t="s">
        <v>61</v>
      </c>
      <c r="J442" t="s">
        <v>55</v>
      </c>
      <c r="K442" t="s">
        <v>486</v>
      </c>
      <c r="L442" t="s">
        <v>473</v>
      </c>
      <c r="M442" t="s">
        <v>478</v>
      </c>
      <c r="O442" t="s">
        <v>56</v>
      </c>
      <c r="P442" t="s">
        <v>474</v>
      </c>
    </row>
    <row r="443" spans="1:16" x14ac:dyDescent="0.3">
      <c r="A443" t="s">
        <v>740</v>
      </c>
      <c r="B443" t="s">
        <v>532</v>
      </c>
      <c r="C443" s="51">
        <v>46305.75</v>
      </c>
      <c r="D443" s="51">
        <v>46304.701388888891</v>
      </c>
      <c r="E443" t="s">
        <v>87</v>
      </c>
      <c r="F443" t="s">
        <v>48</v>
      </c>
      <c r="G443" t="s">
        <v>533</v>
      </c>
      <c r="H443" t="s">
        <v>121</v>
      </c>
      <c r="I443" t="s">
        <v>82</v>
      </c>
      <c r="J443" t="s">
        <v>83</v>
      </c>
      <c r="K443" t="s">
        <v>469</v>
      </c>
      <c r="L443" t="s">
        <v>473</v>
      </c>
      <c r="M443" t="s">
        <v>476</v>
      </c>
      <c r="O443" t="s">
        <v>503</v>
      </c>
      <c r="P443" t="s">
        <v>474</v>
      </c>
    </row>
    <row r="444" spans="1:16" x14ac:dyDescent="0.3">
      <c r="A444" t="s">
        <v>741</v>
      </c>
      <c r="B444" t="s">
        <v>47</v>
      </c>
      <c r="C444" s="51">
        <v>46310.9375</v>
      </c>
      <c r="D444" s="51">
        <v>46304.677777777775</v>
      </c>
      <c r="E444" t="s">
        <v>87</v>
      </c>
      <c r="F444" t="s">
        <v>48</v>
      </c>
      <c r="G444" t="s">
        <v>49</v>
      </c>
      <c r="H444" t="s">
        <v>50</v>
      </c>
      <c r="I444" t="s">
        <v>66</v>
      </c>
      <c r="J444" t="s">
        <v>51</v>
      </c>
      <c r="K444" t="s">
        <v>469</v>
      </c>
      <c r="L444" t="s">
        <v>470</v>
      </c>
      <c r="M444" t="s">
        <v>471</v>
      </c>
      <c r="N444">
        <v>15790596</v>
      </c>
      <c r="O444" t="s">
        <v>52</v>
      </c>
      <c r="P444" t="s">
        <v>472</v>
      </c>
    </row>
    <row r="445" spans="1:16" x14ac:dyDescent="0.3">
      <c r="A445" t="s">
        <v>742</v>
      </c>
      <c r="B445" t="s">
        <v>71</v>
      </c>
      <c r="C445" s="51">
        <v>46305.75</v>
      </c>
      <c r="D445" s="51">
        <v>46304.630555555559</v>
      </c>
      <c r="E445" t="s">
        <v>87</v>
      </c>
      <c r="F445" t="s">
        <v>48</v>
      </c>
      <c r="G445" t="s">
        <v>49</v>
      </c>
      <c r="H445" t="s">
        <v>72</v>
      </c>
      <c r="I445" t="s">
        <v>73</v>
      </c>
      <c r="J445" t="s">
        <v>147</v>
      </c>
      <c r="K445" t="s">
        <v>469</v>
      </c>
      <c r="L445" t="s">
        <v>470</v>
      </c>
      <c r="M445">
        <v>0</v>
      </c>
      <c r="O445" t="s">
        <v>52</v>
      </c>
      <c r="P445" t="s">
        <v>474</v>
      </c>
    </row>
    <row r="446" spans="1:16" x14ac:dyDescent="0.3">
      <c r="A446" t="s">
        <v>743</v>
      </c>
      <c r="B446" t="s">
        <v>110</v>
      </c>
      <c r="C446" s="51">
        <v>46305.75</v>
      </c>
      <c r="D446" s="51">
        <v>46304.629166666666</v>
      </c>
      <c r="E446" t="s">
        <v>87</v>
      </c>
      <c r="F446" t="s">
        <v>77</v>
      </c>
      <c r="G446" t="s">
        <v>107</v>
      </c>
      <c r="H446" t="s">
        <v>111</v>
      </c>
      <c r="I446" t="s">
        <v>127</v>
      </c>
      <c r="J446" t="s">
        <v>128</v>
      </c>
      <c r="K446" t="s">
        <v>475</v>
      </c>
      <c r="L446" t="s">
        <v>473</v>
      </c>
      <c r="M446">
        <v>0</v>
      </c>
      <c r="O446" t="s">
        <v>503</v>
      </c>
      <c r="P446" t="s">
        <v>474</v>
      </c>
    </row>
    <row r="447" spans="1:16" x14ac:dyDescent="0.3">
      <c r="A447" t="s">
        <v>744</v>
      </c>
      <c r="B447" t="s">
        <v>108</v>
      </c>
      <c r="C447" s="51">
        <v>46305.666666666664</v>
      </c>
      <c r="D447" s="51">
        <v>46304.627083333333</v>
      </c>
      <c r="E447" t="s">
        <v>87</v>
      </c>
      <c r="F447" t="s">
        <v>77</v>
      </c>
      <c r="G447" t="s">
        <v>107</v>
      </c>
      <c r="H447" t="s">
        <v>109</v>
      </c>
      <c r="I447" t="s">
        <v>122</v>
      </c>
      <c r="J447" t="s">
        <v>123</v>
      </c>
      <c r="K447" t="s">
        <v>475</v>
      </c>
      <c r="L447" t="s">
        <v>473</v>
      </c>
      <c r="M447" t="s">
        <v>745</v>
      </c>
      <c r="O447" t="s">
        <v>56</v>
      </c>
      <c r="P447" t="s">
        <v>474</v>
      </c>
    </row>
    <row r="448" spans="1:16" x14ac:dyDescent="0.3">
      <c r="A448" t="s">
        <v>746</v>
      </c>
      <c r="B448" t="s">
        <v>57</v>
      </c>
      <c r="C448" s="51">
        <v>46305.625</v>
      </c>
      <c r="D448" s="51">
        <v>46304.607638888891</v>
      </c>
      <c r="E448" t="s">
        <v>87</v>
      </c>
      <c r="F448" t="s">
        <v>58</v>
      </c>
      <c r="G448" t="s">
        <v>59</v>
      </c>
      <c r="H448" t="s">
        <v>60</v>
      </c>
      <c r="I448" t="s">
        <v>82</v>
      </c>
      <c r="J448" t="s">
        <v>55</v>
      </c>
      <c r="K448" t="s">
        <v>486</v>
      </c>
      <c r="L448" t="s">
        <v>473</v>
      </c>
      <c r="M448">
        <v>0</v>
      </c>
      <c r="O448" t="s">
        <v>56</v>
      </c>
      <c r="P448" t="s">
        <v>474</v>
      </c>
    </row>
    <row r="449" spans="1:16" x14ac:dyDescent="0.3">
      <c r="A449" t="s">
        <v>747</v>
      </c>
      <c r="B449" t="s">
        <v>71</v>
      </c>
      <c r="C449" s="51">
        <v>46309.416666666664</v>
      </c>
      <c r="D449" s="51">
        <v>46304.606249999997</v>
      </c>
      <c r="E449" t="s">
        <v>87</v>
      </c>
      <c r="F449" t="s">
        <v>48</v>
      </c>
      <c r="G449" t="s">
        <v>49</v>
      </c>
      <c r="H449" t="s">
        <v>72</v>
      </c>
      <c r="I449" t="s">
        <v>73</v>
      </c>
      <c r="J449" t="s">
        <v>70</v>
      </c>
      <c r="K449" t="s">
        <v>469</v>
      </c>
      <c r="L449" t="s">
        <v>470</v>
      </c>
      <c r="M449" t="s">
        <v>471</v>
      </c>
      <c r="O449" t="s">
        <v>52</v>
      </c>
      <c r="P449" t="s">
        <v>472</v>
      </c>
    </row>
    <row r="450" spans="1:16" x14ac:dyDescent="0.3">
      <c r="A450" t="s">
        <v>748</v>
      </c>
      <c r="B450" t="s">
        <v>67</v>
      </c>
      <c r="C450" s="51">
        <v>46310.938194444447</v>
      </c>
      <c r="D450" s="51">
        <v>46304.606249999997</v>
      </c>
      <c r="E450" t="s">
        <v>87</v>
      </c>
      <c r="F450" t="s">
        <v>48</v>
      </c>
      <c r="G450" t="s">
        <v>49</v>
      </c>
      <c r="H450" t="s">
        <v>68</v>
      </c>
      <c r="I450" t="s">
        <v>69</v>
      </c>
      <c r="J450" t="s">
        <v>70</v>
      </c>
      <c r="K450" t="s">
        <v>469</v>
      </c>
      <c r="L450" t="s">
        <v>470</v>
      </c>
      <c r="M450" t="s">
        <v>471</v>
      </c>
      <c r="N450">
        <v>15789594</v>
      </c>
      <c r="O450" t="s">
        <v>52</v>
      </c>
      <c r="P450" t="s">
        <v>472</v>
      </c>
    </row>
    <row r="451" spans="1:16" x14ac:dyDescent="0.3">
      <c r="A451" t="s">
        <v>749</v>
      </c>
      <c r="B451" t="s">
        <v>71</v>
      </c>
      <c r="C451" s="51">
        <v>46308.791666666664</v>
      </c>
      <c r="D451" s="51">
        <v>46304.597222222219</v>
      </c>
      <c r="E451" t="s">
        <v>87</v>
      </c>
      <c r="F451" t="s">
        <v>48</v>
      </c>
      <c r="G451" t="s">
        <v>49</v>
      </c>
      <c r="H451" t="s">
        <v>72</v>
      </c>
      <c r="I451" t="s">
        <v>73</v>
      </c>
      <c r="J451" t="s">
        <v>70</v>
      </c>
      <c r="K451" t="s">
        <v>469</v>
      </c>
      <c r="L451" t="s">
        <v>470</v>
      </c>
      <c r="M451" t="s">
        <v>471</v>
      </c>
      <c r="O451" t="s">
        <v>52</v>
      </c>
      <c r="P451" t="s">
        <v>472</v>
      </c>
    </row>
    <row r="452" spans="1:16" x14ac:dyDescent="0.3">
      <c r="A452" t="s">
        <v>750</v>
      </c>
      <c r="B452" t="s">
        <v>71</v>
      </c>
      <c r="C452" s="51">
        <v>46310.9375</v>
      </c>
      <c r="D452" s="51">
        <v>46304.597222222219</v>
      </c>
      <c r="E452" t="s">
        <v>87</v>
      </c>
      <c r="F452" t="s">
        <v>48</v>
      </c>
      <c r="G452" t="s">
        <v>49</v>
      </c>
      <c r="H452" t="s">
        <v>72</v>
      </c>
      <c r="I452" t="s">
        <v>73</v>
      </c>
      <c r="J452" t="s">
        <v>70</v>
      </c>
      <c r="K452" t="s">
        <v>469</v>
      </c>
      <c r="L452" t="s">
        <v>470</v>
      </c>
      <c r="M452" t="s">
        <v>471</v>
      </c>
      <c r="N452">
        <v>15789614</v>
      </c>
      <c r="O452" t="s">
        <v>52</v>
      </c>
      <c r="P452" t="s">
        <v>472</v>
      </c>
    </row>
    <row r="453" spans="1:16" x14ac:dyDescent="0.3">
      <c r="A453" t="s">
        <v>751</v>
      </c>
      <c r="B453" t="s">
        <v>67</v>
      </c>
      <c r="C453" s="51">
        <v>46308.5</v>
      </c>
      <c r="D453" s="51">
        <v>46304.588194444441</v>
      </c>
      <c r="E453" t="s">
        <v>87</v>
      </c>
      <c r="F453" t="s">
        <v>48</v>
      </c>
      <c r="G453" t="s">
        <v>49</v>
      </c>
      <c r="H453" t="s">
        <v>68</v>
      </c>
      <c r="I453" t="s">
        <v>69</v>
      </c>
      <c r="J453" t="s">
        <v>70</v>
      </c>
      <c r="K453" t="s">
        <v>469</v>
      </c>
      <c r="L453" t="s">
        <v>470</v>
      </c>
      <c r="M453" t="s">
        <v>471</v>
      </c>
      <c r="O453" t="s">
        <v>52</v>
      </c>
      <c r="P453" t="s">
        <v>472</v>
      </c>
    </row>
    <row r="454" spans="1:16" x14ac:dyDescent="0.3">
      <c r="A454" t="s">
        <v>752</v>
      </c>
      <c r="B454" t="s">
        <v>67</v>
      </c>
      <c r="C454" s="51">
        <v>46308.938194444447</v>
      </c>
      <c r="D454" s="51">
        <v>46304.588194444441</v>
      </c>
      <c r="E454" t="s">
        <v>87</v>
      </c>
      <c r="F454" t="s">
        <v>48</v>
      </c>
      <c r="G454" t="s">
        <v>49</v>
      </c>
      <c r="H454" t="s">
        <v>68</v>
      </c>
      <c r="I454" t="s">
        <v>69</v>
      </c>
      <c r="J454" t="s">
        <v>70</v>
      </c>
      <c r="K454" t="s">
        <v>469</v>
      </c>
      <c r="L454" t="s">
        <v>470</v>
      </c>
      <c r="M454" t="s">
        <v>471</v>
      </c>
      <c r="N454">
        <v>15785854</v>
      </c>
      <c r="O454" t="s">
        <v>52</v>
      </c>
      <c r="P454" t="s">
        <v>472</v>
      </c>
    </row>
    <row r="455" spans="1:16" x14ac:dyDescent="0.3">
      <c r="A455" t="s">
        <v>753</v>
      </c>
      <c r="B455" t="s">
        <v>47</v>
      </c>
      <c r="C455" s="51">
        <v>46308.938194444447</v>
      </c>
      <c r="D455" s="51">
        <v>46304.581250000003</v>
      </c>
      <c r="E455" t="s">
        <v>87</v>
      </c>
      <c r="F455" t="s">
        <v>48</v>
      </c>
      <c r="G455" t="s">
        <v>49</v>
      </c>
      <c r="H455" t="s">
        <v>50</v>
      </c>
      <c r="I455" t="s">
        <v>130</v>
      </c>
      <c r="J455" t="s">
        <v>51</v>
      </c>
      <c r="K455" t="s">
        <v>469</v>
      </c>
      <c r="L455" t="s">
        <v>470</v>
      </c>
      <c r="M455" t="s">
        <v>471</v>
      </c>
      <c r="N455">
        <v>15768260</v>
      </c>
      <c r="O455" t="s">
        <v>52</v>
      </c>
      <c r="P455" t="s">
        <v>472</v>
      </c>
    </row>
    <row r="456" spans="1:16" x14ac:dyDescent="0.3">
      <c r="A456" t="s">
        <v>754</v>
      </c>
      <c r="B456" t="s">
        <v>137</v>
      </c>
      <c r="C456" s="51">
        <v>46308.644444444442</v>
      </c>
      <c r="D456" s="51">
        <v>46304.572222222225</v>
      </c>
      <c r="E456" t="s">
        <v>87</v>
      </c>
      <c r="F456" t="s">
        <v>53</v>
      </c>
      <c r="G456" t="s">
        <v>54</v>
      </c>
      <c r="H456" t="s">
        <v>138</v>
      </c>
      <c r="I456" t="s">
        <v>166</v>
      </c>
      <c r="J456" t="s">
        <v>55</v>
      </c>
      <c r="K456" t="s">
        <v>481</v>
      </c>
      <c r="L456" t="s">
        <v>473</v>
      </c>
      <c r="M456" t="s">
        <v>478</v>
      </c>
      <c r="O456" t="s">
        <v>129</v>
      </c>
      <c r="P456" t="s">
        <v>474</v>
      </c>
    </row>
    <row r="457" spans="1:16" x14ac:dyDescent="0.3">
      <c r="A457" t="s">
        <v>755</v>
      </c>
      <c r="B457" t="s">
        <v>124</v>
      </c>
      <c r="C457" s="51">
        <v>46305.583333333336</v>
      </c>
      <c r="D457" s="51">
        <v>46304.567361111112</v>
      </c>
      <c r="E457" t="s">
        <v>87</v>
      </c>
      <c r="F457" t="s">
        <v>77</v>
      </c>
      <c r="G457" t="s">
        <v>107</v>
      </c>
      <c r="H457" t="s">
        <v>125</v>
      </c>
      <c r="I457" t="s">
        <v>122</v>
      </c>
      <c r="J457" t="s">
        <v>126</v>
      </c>
      <c r="K457" t="s">
        <v>475</v>
      </c>
      <c r="L457" t="s">
        <v>473</v>
      </c>
      <c r="M457">
        <v>0</v>
      </c>
      <c r="O457" t="s">
        <v>503</v>
      </c>
      <c r="P457" t="s">
        <v>474</v>
      </c>
    </row>
    <row r="458" spans="1:16" x14ac:dyDescent="0.3">
      <c r="A458" t="s">
        <v>756</v>
      </c>
      <c r="B458" t="s">
        <v>62</v>
      </c>
      <c r="C458" s="51">
        <v>46305.625</v>
      </c>
      <c r="D458" s="51">
        <v>46304.566666666666</v>
      </c>
      <c r="E458" t="s">
        <v>87</v>
      </c>
      <c r="F458" t="s">
        <v>53</v>
      </c>
      <c r="G458" t="s">
        <v>54</v>
      </c>
      <c r="H458" t="s">
        <v>63</v>
      </c>
      <c r="I458" t="s">
        <v>64</v>
      </c>
      <c r="J458" t="s">
        <v>65</v>
      </c>
      <c r="K458" t="s">
        <v>481</v>
      </c>
      <c r="L458" t="s">
        <v>470</v>
      </c>
      <c r="M458" t="s">
        <v>471</v>
      </c>
      <c r="O458" t="s">
        <v>52</v>
      </c>
      <c r="P458" t="s">
        <v>472</v>
      </c>
    </row>
    <row r="459" spans="1:16" x14ac:dyDescent="0.3">
      <c r="A459" t="s">
        <v>757</v>
      </c>
      <c r="B459" t="s">
        <v>67</v>
      </c>
      <c r="C459" s="51">
        <v>46308.938194444447</v>
      </c>
      <c r="D459" s="51">
        <v>46304.565972222219</v>
      </c>
      <c r="E459" t="s">
        <v>87</v>
      </c>
      <c r="F459" t="s">
        <v>48</v>
      </c>
      <c r="G459" t="s">
        <v>49</v>
      </c>
      <c r="H459" t="s">
        <v>68</v>
      </c>
      <c r="I459" t="s">
        <v>69</v>
      </c>
      <c r="J459" t="s">
        <v>70</v>
      </c>
      <c r="K459" t="s">
        <v>469</v>
      </c>
      <c r="L459" t="s">
        <v>470</v>
      </c>
      <c r="M459" t="s">
        <v>471</v>
      </c>
      <c r="N459">
        <v>15768416</v>
      </c>
      <c r="O459" t="s">
        <v>52</v>
      </c>
      <c r="P459" t="s">
        <v>472</v>
      </c>
    </row>
    <row r="460" spans="1:16" x14ac:dyDescent="0.3">
      <c r="A460" t="s">
        <v>758</v>
      </c>
      <c r="B460" t="s">
        <v>131</v>
      </c>
      <c r="C460" s="51">
        <v>46305.583333333336</v>
      </c>
      <c r="D460" s="51">
        <v>46304.556944444441</v>
      </c>
      <c r="E460" t="s">
        <v>87</v>
      </c>
      <c r="F460" t="s">
        <v>77</v>
      </c>
      <c r="G460" t="s">
        <v>132</v>
      </c>
      <c r="H460" t="s">
        <v>132</v>
      </c>
      <c r="I460" t="s">
        <v>84</v>
      </c>
      <c r="J460" t="s">
        <v>55</v>
      </c>
      <c r="K460" t="s">
        <v>487</v>
      </c>
      <c r="L460" t="s">
        <v>473</v>
      </c>
      <c r="M460" t="s">
        <v>759</v>
      </c>
      <c r="O460" t="s">
        <v>56</v>
      </c>
      <c r="P460" t="s">
        <v>474</v>
      </c>
    </row>
    <row r="461" spans="1:16" x14ac:dyDescent="0.3">
      <c r="A461" t="s">
        <v>760</v>
      </c>
      <c r="B461" t="s">
        <v>47</v>
      </c>
      <c r="C461" s="51">
        <v>46308.938194444447</v>
      </c>
      <c r="D461" s="51">
        <v>46304.54583333333</v>
      </c>
      <c r="E461" t="s">
        <v>87</v>
      </c>
      <c r="F461" t="s">
        <v>48</v>
      </c>
      <c r="G461" t="s">
        <v>49</v>
      </c>
      <c r="H461" t="s">
        <v>50</v>
      </c>
      <c r="I461" t="s">
        <v>92</v>
      </c>
      <c r="J461" t="s">
        <v>51</v>
      </c>
      <c r="K461" t="s">
        <v>469</v>
      </c>
      <c r="L461" t="s">
        <v>470</v>
      </c>
      <c r="M461" t="s">
        <v>471</v>
      </c>
      <c r="N461">
        <v>15768224</v>
      </c>
      <c r="O461" t="s">
        <v>52</v>
      </c>
      <c r="P461" t="s">
        <v>472</v>
      </c>
    </row>
    <row r="462" spans="1:16" x14ac:dyDescent="0.3">
      <c r="A462" t="s">
        <v>761</v>
      </c>
      <c r="B462" t="s">
        <v>62</v>
      </c>
      <c r="C462" s="51">
        <v>46305.583333333336</v>
      </c>
      <c r="D462" s="51">
        <v>46304.487500000003</v>
      </c>
      <c r="E462" t="s">
        <v>87</v>
      </c>
      <c r="F462" t="s">
        <v>53</v>
      </c>
      <c r="G462" t="s">
        <v>54</v>
      </c>
      <c r="H462" t="s">
        <v>63</v>
      </c>
      <c r="I462" t="s">
        <v>64</v>
      </c>
      <c r="J462" t="s">
        <v>65</v>
      </c>
      <c r="K462" t="s">
        <v>481</v>
      </c>
      <c r="L462" t="s">
        <v>470</v>
      </c>
      <c r="M462" t="s">
        <v>471</v>
      </c>
      <c r="O462" t="s">
        <v>52</v>
      </c>
      <c r="P462" t="s">
        <v>472</v>
      </c>
    </row>
    <row r="463" spans="1:16" x14ac:dyDescent="0.3">
      <c r="A463" t="s">
        <v>762</v>
      </c>
      <c r="B463" t="s">
        <v>71</v>
      </c>
      <c r="C463" s="51">
        <v>46308.938194444447</v>
      </c>
      <c r="D463" s="51">
        <v>46304.486111111109</v>
      </c>
      <c r="E463" t="s">
        <v>87</v>
      </c>
      <c r="F463" t="s">
        <v>48</v>
      </c>
      <c r="G463" t="s">
        <v>49</v>
      </c>
      <c r="H463" t="s">
        <v>72</v>
      </c>
      <c r="I463" t="s">
        <v>73</v>
      </c>
      <c r="J463" t="s">
        <v>70</v>
      </c>
      <c r="K463" t="s">
        <v>469</v>
      </c>
      <c r="L463" t="s">
        <v>470</v>
      </c>
      <c r="M463" t="s">
        <v>471</v>
      </c>
      <c r="N463">
        <v>15768200</v>
      </c>
      <c r="O463" t="s">
        <v>52</v>
      </c>
      <c r="P463" t="s">
        <v>472</v>
      </c>
    </row>
    <row r="464" spans="1:16" x14ac:dyDescent="0.3">
      <c r="A464" t="s">
        <v>763</v>
      </c>
      <c r="B464" t="s">
        <v>62</v>
      </c>
      <c r="C464" s="51">
        <v>46305.583333333336</v>
      </c>
      <c r="D464" s="51">
        <v>46304.473611111112</v>
      </c>
      <c r="E464" t="s">
        <v>87</v>
      </c>
      <c r="F464" t="s">
        <v>53</v>
      </c>
      <c r="G464" t="s">
        <v>54</v>
      </c>
      <c r="H464" t="s">
        <v>63</v>
      </c>
      <c r="I464" t="s">
        <v>64</v>
      </c>
      <c r="J464" t="s">
        <v>65</v>
      </c>
      <c r="K464" t="s">
        <v>481</v>
      </c>
      <c r="L464" t="s">
        <v>470</v>
      </c>
      <c r="M464" t="s">
        <v>471</v>
      </c>
      <c r="O464" t="s">
        <v>52</v>
      </c>
      <c r="P464" t="s">
        <v>472</v>
      </c>
    </row>
    <row r="465" spans="1:16" x14ac:dyDescent="0.3">
      <c r="A465" t="s">
        <v>764</v>
      </c>
      <c r="B465" t="s">
        <v>62</v>
      </c>
      <c r="C465" s="51">
        <v>46305.583333333336</v>
      </c>
      <c r="D465" s="51">
        <v>46304.473611111112</v>
      </c>
      <c r="E465" t="s">
        <v>87</v>
      </c>
      <c r="F465" t="s">
        <v>53</v>
      </c>
      <c r="G465" t="s">
        <v>54</v>
      </c>
      <c r="H465" t="s">
        <v>63</v>
      </c>
      <c r="I465" t="s">
        <v>64</v>
      </c>
      <c r="J465" t="s">
        <v>65</v>
      </c>
      <c r="K465" t="s">
        <v>481</v>
      </c>
      <c r="L465" t="s">
        <v>470</v>
      </c>
      <c r="M465" t="s">
        <v>471</v>
      </c>
      <c r="O465" t="s">
        <v>52</v>
      </c>
      <c r="P465" t="s">
        <v>472</v>
      </c>
    </row>
    <row r="466" spans="1:16" x14ac:dyDescent="0.3">
      <c r="A466" t="s">
        <v>765</v>
      </c>
      <c r="B466" t="s">
        <v>62</v>
      </c>
      <c r="C466" s="51">
        <v>46305.583333333336</v>
      </c>
      <c r="D466" s="51">
        <v>46304.473611111112</v>
      </c>
      <c r="E466" t="s">
        <v>87</v>
      </c>
      <c r="F466" t="s">
        <v>53</v>
      </c>
      <c r="G466" t="s">
        <v>54</v>
      </c>
      <c r="H466" t="s">
        <v>63</v>
      </c>
      <c r="I466" t="s">
        <v>64</v>
      </c>
      <c r="J466" t="s">
        <v>65</v>
      </c>
      <c r="K466" t="s">
        <v>481</v>
      </c>
      <c r="L466" t="s">
        <v>470</v>
      </c>
      <c r="M466" t="s">
        <v>471</v>
      </c>
      <c r="O466" t="s">
        <v>52</v>
      </c>
      <c r="P466" t="s">
        <v>472</v>
      </c>
    </row>
    <row r="467" spans="1:16" x14ac:dyDescent="0.3">
      <c r="A467" t="s">
        <v>766</v>
      </c>
      <c r="B467" t="s">
        <v>62</v>
      </c>
      <c r="C467" s="51">
        <v>46305.583333333336</v>
      </c>
      <c r="D467" s="51">
        <v>46304.473611111112</v>
      </c>
      <c r="E467" t="s">
        <v>87</v>
      </c>
      <c r="F467" t="s">
        <v>53</v>
      </c>
      <c r="G467" t="s">
        <v>54</v>
      </c>
      <c r="H467" t="s">
        <v>63</v>
      </c>
      <c r="I467" t="s">
        <v>64</v>
      </c>
      <c r="J467" t="s">
        <v>65</v>
      </c>
      <c r="K467" t="s">
        <v>481</v>
      </c>
      <c r="L467" t="s">
        <v>470</v>
      </c>
      <c r="M467" t="s">
        <v>471</v>
      </c>
      <c r="O467" t="s">
        <v>52</v>
      </c>
      <c r="P467" t="s">
        <v>472</v>
      </c>
    </row>
    <row r="468" spans="1:16" x14ac:dyDescent="0.3">
      <c r="A468" t="s">
        <v>767</v>
      </c>
      <c r="B468" t="s">
        <v>47</v>
      </c>
      <c r="C468" s="51">
        <v>46307.938194444447</v>
      </c>
      <c r="D468" s="51">
        <v>46304.47152777778</v>
      </c>
      <c r="E468" t="s">
        <v>87</v>
      </c>
      <c r="F468" t="s">
        <v>48</v>
      </c>
      <c r="G468" t="s">
        <v>49</v>
      </c>
      <c r="H468" t="s">
        <v>50</v>
      </c>
      <c r="I468" t="s">
        <v>149</v>
      </c>
      <c r="J468" t="s">
        <v>51</v>
      </c>
      <c r="K468" t="s">
        <v>469</v>
      </c>
      <c r="L468" t="s">
        <v>470</v>
      </c>
      <c r="M468" t="s">
        <v>471</v>
      </c>
      <c r="N468">
        <v>15767852</v>
      </c>
      <c r="O468" t="s">
        <v>52</v>
      </c>
      <c r="P468" t="s">
        <v>472</v>
      </c>
    </row>
    <row r="469" spans="1:16" x14ac:dyDescent="0.3">
      <c r="A469" t="s">
        <v>768</v>
      </c>
      <c r="B469" t="s">
        <v>47</v>
      </c>
      <c r="C469" s="51">
        <v>46307.938194444447</v>
      </c>
      <c r="D469" s="51">
        <v>46304.47152777778</v>
      </c>
      <c r="E469" t="s">
        <v>87</v>
      </c>
      <c r="F469" t="s">
        <v>48</v>
      </c>
      <c r="G469" t="s">
        <v>49</v>
      </c>
      <c r="H469" t="s">
        <v>50</v>
      </c>
      <c r="I469" t="s">
        <v>149</v>
      </c>
      <c r="J469" t="s">
        <v>51</v>
      </c>
      <c r="K469" t="s">
        <v>469</v>
      </c>
      <c r="L469" t="s">
        <v>470</v>
      </c>
      <c r="M469" t="s">
        <v>471</v>
      </c>
      <c r="N469">
        <v>15767880</v>
      </c>
      <c r="O469" t="s">
        <v>52</v>
      </c>
      <c r="P469" t="s">
        <v>472</v>
      </c>
    </row>
    <row r="470" spans="1:16" x14ac:dyDescent="0.3">
      <c r="A470" t="s">
        <v>769</v>
      </c>
      <c r="B470" t="s">
        <v>155</v>
      </c>
      <c r="C470" s="51">
        <v>46307.938194444447</v>
      </c>
      <c r="D470" s="51">
        <v>46304.47152777778</v>
      </c>
      <c r="E470" t="s">
        <v>87</v>
      </c>
      <c r="F470" t="s">
        <v>53</v>
      </c>
      <c r="G470" t="s">
        <v>85</v>
      </c>
      <c r="H470" t="s">
        <v>156</v>
      </c>
      <c r="I470" t="s">
        <v>157</v>
      </c>
      <c r="J470" t="s">
        <v>70</v>
      </c>
      <c r="K470" t="s">
        <v>469</v>
      </c>
      <c r="L470" t="s">
        <v>470</v>
      </c>
      <c r="M470" t="s">
        <v>471</v>
      </c>
      <c r="N470">
        <v>15768022</v>
      </c>
      <c r="O470" t="s">
        <v>52</v>
      </c>
      <c r="P470" t="s">
        <v>472</v>
      </c>
    </row>
    <row r="471" spans="1:16" x14ac:dyDescent="0.3">
      <c r="A471" t="s">
        <v>770</v>
      </c>
      <c r="B471" t="s">
        <v>71</v>
      </c>
      <c r="C471" s="51">
        <v>46307.938194444447</v>
      </c>
      <c r="D471" s="51">
        <v>46304.47152777778</v>
      </c>
      <c r="E471" t="s">
        <v>87</v>
      </c>
      <c r="F471" t="s">
        <v>48</v>
      </c>
      <c r="G471" t="s">
        <v>49</v>
      </c>
      <c r="H471" t="s">
        <v>72</v>
      </c>
      <c r="I471" t="s">
        <v>73</v>
      </c>
      <c r="J471" t="s">
        <v>70</v>
      </c>
      <c r="K471" t="s">
        <v>469</v>
      </c>
      <c r="L471" t="s">
        <v>470</v>
      </c>
      <c r="M471" t="s">
        <v>471</v>
      </c>
      <c r="N471">
        <v>15768030</v>
      </c>
      <c r="O471" t="s">
        <v>52</v>
      </c>
      <c r="P471" t="s">
        <v>472</v>
      </c>
    </row>
    <row r="472" spans="1:16" x14ac:dyDescent="0.3">
      <c r="A472" t="s">
        <v>771</v>
      </c>
      <c r="B472" t="s">
        <v>108</v>
      </c>
      <c r="C472" s="51">
        <v>46305.458333333336</v>
      </c>
      <c r="D472" s="51">
        <v>46304.426388888889</v>
      </c>
      <c r="E472" t="s">
        <v>87</v>
      </c>
      <c r="F472" t="s">
        <v>77</v>
      </c>
      <c r="G472" t="s">
        <v>107</v>
      </c>
      <c r="H472" t="s">
        <v>109</v>
      </c>
      <c r="I472" t="s">
        <v>122</v>
      </c>
      <c r="J472" t="s">
        <v>123</v>
      </c>
      <c r="K472" t="s">
        <v>475</v>
      </c>
      <c r="L472" t="s">
        <v>473</v>
      </c>
      <c r="M472" t="s">
        <v>772</v>
      </c>
      <c r="O472" t="s">
        <v>56</v>
      </c>
      <c r="P472" t="s">
        <v>474</v>
      </c>
    </row>
    <row r="473" spans="1:16" x14ac:dyDescent="0.3">
      <c r="A473" t="s">
        <v>773</v>
      </c>
      <c r="B473" t="s">
        <v>108</v>
      </c>
      <c r="C473" s="51">
        <v>46305.416666666664</v>
      </c>
      <c r="D473" s="51">
        <v>46304.412499999999</v>
      </c>
      <c r="E473" t="s">
        <v>87</v>
      </c>
      <c r="F473" t="s">
        <v>77</v>
      </c>
      <c r="G473" t="s">
        <v>107</v>
      </c>
      <c r="H473" t="s">
        <v>109</v>
      </c>
      <c r="I473" t="s">
        <v>122</v>
      </c>
      <c r="J473" t="s">
        <v>123</v>
      </c>
      <c r="K473" t="s">
        <v>475</v>
      </c>
      <c r="L473" t="s">
        <v>473</v>
      </c>
      <c r="M473" t="s">
        <v>478</v>
      </c>
      <c r="O473" t="s">
        <v>503</v>
      </c>
      <c r="P473" t="s">
        <v>474</v>
      </c>
    </row>
    <row r="474" spans="1:16" x14ac:dyDescent="0.3">
      <c r="A474" t="s">
        <v>774</v>
      </c>
      <c r="B474" t="s">
        <v>47</v>
      </c>
      <c r="C474" s="51">
        <v>46308.938194444447</v>
      </c>
      <c r="D474" s="51">
        <v>46304.392361111109</v>
      </c>
      <c r="E474" t="s">
        <v>87</v>
      </c>
      <c r="F474" t="s">
        <v>48</v>
      </c>
      <c r="G474" t="s">
        <v>49</v>
      </c>
      <c r="H474" t="s">
        <v>50</v>
      </c>
      <c r="I474" t="s">
        <v>66</v>
      </c>
      <c r="J474" t="s">
        <v>51</v>
      </c>
      <c r="K474" t="s">
        <v>469</v>
      </c>
      <c r="L474" t="s">
        <v>470</v>
      </c>
      <c r="M474" t="s">
        <v>471</v>
      </c>
      <c r="N474">
        <v>15767656</v>
      </c>
      <c r="O474" t="s">
        <v>52</v>
      </c>
      <c r="P474" t="s">
        <v>472</v>
      </c>
    </row>
    <row r="475" spans="1:16" x14ac:dyDescent="0.3">
      <c r="A475" t="s">
        <v>775</v>
      </c>
      <c r="B475" t="s">
        <v>47</v>
      </c>
      <c r="C475" s="51">
        <v>46307.938194444447</v>
      </c>
      <c r="D475" s="51">
        <v>46304.386111111111</v>
      </c>
      <c r="E475" t="s">
        <v>87</v>
      </c>
      <c r="F475" t="s">
        <v>48</v>
      </c>
      <c r="G475" t="s">
        <v>49</v>
      </c>
      <c r="H475" t="s">
        <v>50</v>
      </c>
      <c r="I475" t="s">
        <v>92</v>
      </c>
      <c r="J475" t="s">
        <v>51</v>
      </c>
      <c r="K475" t="s">
        <v>469</v>
      </c>
      <c r="L475" t="s">
        <v>470</v>
      </c>
      <c r="M475" t="s">
        <v>485</v>
      </c>
      <c r="N475">
        <v>15767792</v>
      </c>
      <c r="O475" t="s">
        <v>52</v>
      </c>
      <c r="P475" t="s">
        <v>472</v>
      </c>
    </row>
    <row r="476" spans="1:16" x14ac:dyDescent="0.3">
      <c r="A476" t="s">
        <v>776</v>
      </c>
      <c r="B476" t="s">
        <v>57</v>
      </c>
      <c r="C476" s="51">
        <v>46307.677083333336</v>
      </c>
      <c r="D476" s="51">
        <v>46304.384027777778</v>
      </c>
      <c r="E476" t="s">
        <v>87</v>
      </c>
      <c r="F476" t="s">
        <v>58</v>
      </c>
      <c r="G476" t="s">
        <v>59</v>
      </c>
      <c r="H476" t="s">
        <v>60</v>
      </c>
      <c r="I476" t="s">
        <v>61</v>
      </c>
      <c r="J476" t="s">
        <v>55</v>
      </c>
      <c r="K476" t="s">
        <v>486</v>
      </c>
      <c r="L476" t="s">
        <v>473</v>
      </c>
      <c r="M476">
        <v>0</v>
      </c>
      <c r="O476" t="s">
        <v>56</v>
      </c>
      <c r="P476" t="s">
        <v>474</v>
      </c>
    </row>
    <row r="477" spans="1:16" x14ac:dyDescent="0.3">
      <c r="A477" t="s">
        <v>777</v>
      </c>
      <c r="B477" t="s">
        <v>57</v>
      </c>
      <c r="C477" s="51">
        <v>46307.676388888889</v>
      </c>
      <c r="D477" s="51">
        <v>46304.330555555556</v>
      </c>
      <c r="E477" t="s">
        <v>87</v>
      </c>
      <c r="F477" t="s">
        <v>58</v>
      </c>
      <c r="G477" t="s">
        <v>59</v>
      </c>
      <c r="H477" t="s">
        <v>60</v>
      </c>
      <c r="I477" t="s">
        <v>61</v>
      </c>
      <c r="J477" t="s">
        <v>55</v>
      </c>
      <c r="K477" t="s">
        <v>486</v>
      </c>
      <c r="L477" t="s">
        <v>473</v>
      </c>
      <c r="M477">
        <v>0</v>
      </c>
      <c r="O477" t="s">
        <v>56</v>
      </c>
      <c r="P477" t="s">
        <v>474</v>
      </c>
    </row>
    <row r="478" spans="1:16" x14ac:dyDescent="0.3">
      <c r="A478" t="s">
        <v>778</v>
      </c>
      <c r="B478" t="s">
        <v>47</v>
      </c>
      <c r="C478" s="51">
        <v>46307.9375</v>
      </c>
      <c r="D478" s="51">
        <v>46303.988194444442</v>
      </c>
      <c r="E478" t="s">
        <v>87</v>
      </c>
      <c r="F478" t="s">
        <v>48</v>
      </c>
      <c r="G478" t="s">
        <v>49</v>
      </c>
      <c r="H478" t="s">
        <v>50</v>
      </c>
      <c r="I478" t="s">
        <v>66</v>
      </c>
      <c r="J478" t="s">
        <v>51</v>
      </c>
      <c r="K478" t="s">
        <v>469</v>
      </c>
      <c r="L478" t="s">
        <v>470</v>
      </c>
      <c r="M478" t="s">
        <v>471</v>
      </c>
      <c r="N478">
        <v>15765796</v>
      </c>
      <c r="O478" t="s">
        <v>52</v>
      </c>
      <c r="P478" t="s">
        <v>472</v>
      </c>
    </row>
    <row r="479" spans="1:16" x14ac:dyDescent="0.3">
      <c r="A479" t="s">
        <v>779</v>
      </c>
      <c r="B479" t="s">
        <v>62</v>
      </c>
      <c r="C479" s="51">
        <v>46305.333333333336</v>
      </c>
      <c r="D479" s="51">
        <v>46303.827777777777</v>
      </c>
      <c r="E479" t="s">
        <v>87</v>
      </c>
      <c r="F479" t="s">
        <v>53</v>
      </c>
      <c r="G479" t="s">
        <v>54</v>
      </c>
      <c r="H479" t="s">
        <v>63</v>
      </c>
      <c r="I479" t="s">
        <v>64</v>
      </c>
      <c r="J479" t="s">
        <v>65</v>
      </c>
      <c r="K479" t="s">
        <v>481</v>
      </c>
      <c r="L479" t="s">
        <v>470</v>
      </c>
      <c r="M479" t="s">
        <v>471</v>
      </c>
      <c r="O479" t="s">
        <v>52</v>
      </c>
      <c r="P479" t="s">
        <v>472</v>
      </c>
    </row>
    <row r="480" spans="1:16" x14ac:dyDescent="0.3">
      <c r="A480" t="s">
        <v>780</v>
      </c>
      <c r="B480" t="s">
        <v>47</v>
      </c>
      <c r="C480" s="51">
        <v>46308.938194444447</v>
      </c>
      <c r="D480" s="51">
        <v>46303.827777777777</v>
      </c>
      <c r="E480" t="s">
        <v>87</v>
      </c>
      <c r="F480" t="s">
        <v>48</v>
      </c>
      <c r="G480" t="s">
        <v>49</v>
      </c>
      <c r="H480" t="s">
        <v>50</v>
      </c>
      <c r="I480" t="s">
        <v>92</v>
      </c>
      <c r="J480" t="s">
        <v>51</v>
      </c>
      <c r="K480" t="s">
        <v>469</v>
      </c>
      <c r="L480" t="s">
        <v>470</v>
      </c>
      <c r="M480" t="s">
        <v>471</v>
      </c>
      <c r="N480">
        <v>15765412</v>
      </c>
      <c r="O480" t="s">
        <v>52</v>
      </c>
      <c r="P480" t="s">
        <v>472</v>
      </c>
    </row>
    <row r="481" spans="1:16" x14ac:dyDescent="0.3">
      <c r="A481" t="s">
        <v>781</v>
      </c>
      <c r="B481" t="s">
        <v>62</v>
      </c>
      <c r="C481" s="51">
        <v>46305.333333333336</v>
      </c>
      <c r="D481" s="51">
        <v>46303.818055555559</v>
      </c>
      <c r="E481" t="s">
        <v>87</v>
      </c>
      <c r="F481" t="s">
        <v>53</v>
      </c>
      <c r="G481" t="s">
        <v>54</v>
      </c>
      <c r="H481" t="s">
        <v>63</v>
      </c>
      <c r="I481" t="s">
        <v>64</v>
      </c>
      <c r="J481" t="s">
        <v>65</v>
      </c>
      <c r="K481" t="s">
        <v>481</v>
      </c>
      <c r="L481" t="s">
        <v>470</v>
      </c>
      <c r="M481" t="s">
        <v>471</v>
      </c>
      <c r="O481" t="s">
        <v>52</v>
      </c>
      <c r="P481" t="s">
        <v>472</v>
      </c>
    </row>
    <row r="482" spans="1:16" x14ac:dyDescent="0.3">
      <c r="A482" t="s">
        <v>782</v>
      </c>
      <c r="B482" t="s">
        <v>67</v>
      </c>
      <c r="C482" s="51">
        <v>46308.938194444447</v>
      </c>
      <c r="D482" s="51">
        <v>46303.816666666666</v>
      </c>
      <c r="E482" t="s">
        <v>87</v>
      </c>
      <c r="F482" t="s">
        <v>48</v>
      </c>
      <c r="G482" t="s">
        <v>49</v>
      </c>
      <c r="H482" t="s">
        <v>68</v>
      </c>
      <c r="I482" t="s">
        <v>69</v>
      </c>
      <c r="J482" t="s">
        <v>70</v>
      </c>
      <c r="K482" t="s">
        <v>469</v>
      </c>
      <c r="L482" t="s">
        <v>470</v>
      </c>
      <c r="M482" t="s">
        <v>471</v>
      </c>
      <c r="N482">
        <v>15765398</v>
      </c>
      <c r="O482" t="s">
        <v>52</v>
      </c>
      <c r="P482" t="s">
        <v>472</v>
      </c>
    </row>
    <row r="483" spans="1:16" x14ac:dyDescent="0.3">
      <c r="A483" t="s">
        <v>783</v>
      </c>
      <c r="B483" t="s">
        <v>62</v>
      </c>
      <c r="C483" s="51">
        <v>46305.333333333336</v>
      </c>
      <c r="D483" s="51">
        <v>46303.708333333336</v>
      </c>
      <c r="E483" t="s">
        <v>87</v>
      </c>
      <c r="F483" t="s">
        <v>53</v>
      </c>
      <c r="G483" t="s">
        <v>54</v>
      </c>
      <c r="H483" t="s">
        <v>63</v>
      </c>
      <c r="I483" t="s">
        <v>64</v>
      </c>
      <c r="J483" t="s">
        <v>65</v>
      </c>
      <c r="K483" t="s">
        <v>481</v>
      </c>
      <c r="L483" t="s">
        <v>470</v>
      </c>
      <c r="M483" t="s">
        <v>471</v>
      </c>
      <c r="O483" t="s">
        <v>52</v>
      </c>
      <c r="P483" t="s">
        <v>472</v>
      </c>
    </row>
    <row r="484" spans="1:16" x14ac:dyDescent="0.3">
      <c r="A484" t="s">
        <v>784</v>
      </c>
      <c r="B484" t="s">
        <v>62</v>
      </c>
      <c r="C484" s="51">
        <v>46305.333333333336</v>
      </c>
      <c r="D484" s="51">
        <v>46303.708333333336</v>
      </c>
      <c r="E484" t="s">
        <v>87</v>
      </c>
      <c r="F484" t="s">
        <v>53</v>
      </c>
      <c r="G484" t="s">
        <v>54</v>
      </c>
      <c r="H484" t="s">
        <v>63</v>
      </c>
      <c r="I484" t="s">
        <v>64</v>
      </c>
      <c r="J484" t="s">
        <v>65</v>
      </c>
      <c r="K484" t="s">
        <v>481</v>
      </c>
      <c r="L484" t="s">
        <v>470</v>
      </c>
      <c r="M484" t="s">
        <v>471</v>
      </c>
      <c r="O484" t="s">
        <v>52</v>
      </c>
      <c r="P484" t="s">
        <v>472</v>
      </c>
    </row>
    <row r="485" spans="1:16" x14ac:dyDescent="0.3">
      <c r="A485" t="s">
        <v>785</v>
      </c>
      <c r="B485" t="s">
        <v>113</v>
      </c>
      <c r="C485" s="51">
        <v>46308.938194444447</v>
      </c>
      <c r="D485" s="51">
        <v>46303.706944444442</v>
      </c>
      <c r="E485" t="s">
        <v>87</v>
      </c>
      <c r="F485" t="s">
        <v>48</v>
      </c>
      <c r="G485" t="s">
        <v>49</v>
      </c>
      <c r="H485" t="s">
        <v>114</v>
      </c>
      <c r="I485" t="s">
        <v>115</v>
      </c>
      <c r="J485" t="s">
        <v>116</v>
      </c>
      <c r="K485" t="s">
        <v>469</v>
      </c>
      <c r="L485" t="s">
        <v>470</v>
      </c>
      <c r="M485" t="s">
        <v>471</v>
      </c>
      <c r="N485">
        <v>15765396</v>
      </c>
      <c r="O485" t="s">
        <v>52</v>
      </c>
      <c r="P485" t="s">
        <v>472</v>
      </c>
    </row>
    <row r="486" spans="1:16" x14ac:dyDescent="0.3">
      <c r="A486" t="s">
        <v>786</v>
      </c>
      <c r="B486" t="s">
        <v>62</v>
      </c>
      <c r="C486" s="51">
        <v>46305.291666666664</v>
      </c>
      <c r="D486" s="51">
        <v>46303.706944444442</v>
      </c>
      <c r="E486" t="s">
        <v>87</v>
      </c>
      <c r="F486" t="s">
        <v>53</v>
      </c>
      <c r="G486" t="s">
        <v>54</v>
      </c>
      <c r="H486" t="s">
        <v>63</v>
      </c>
      <c r="I486" t="s">
        <v>64</v>
      </c>
      <c r="J486" t="s">
        <v>65</v>
      </c>
      <c r="K486" t="s">
        <v>481</v>
      </c>
      <c r="L486" t="s">
        <v>470</v>
      </c>
      <c r="M486" t="s">
        <v>471</v>
      </c>
      <c r="O486" t="s">
        <v>52</v>
      </c>
      <c r="P486" t="s">
        <v>472</v>
      </c>
    </row>
    <row r="487" spans="1:16" x14ac:dyDescent="0.3">
      <c r="A487" t="s">
        <v>787</v>
      </c>
      <c r="B487" t="s">
        <v>62</v>
      </c>
      <c r="C487" s="51">
        <v>46305.291666666664</v>
      </c>
      <c r="D487" s="51">
        <v>46303.706944444442</v>
      </c>
      <c r="E487" t="s">
        <v>87</v>
      </c>
      <c r="F487" t="s">
        <v>53</v>
      </c>
      <c r="G487" t="s">
        <v>54</v>
      </c>
      <c r="H487" t="s">
        <v>63</v>
      </c>
      <c r="I487" t="s">
        <v>64</v>
      </c>
      <c r="J487" t="s">
        <v>65</v>
      </c>
      <c r="K487" t="s">
        <v>481</v>
      </c>
      <c r="L487" t="s">
        <v>470</v>
      </c>
      <c r="M487" t="s">
        <v>471</v>
      </c>
      <c r="O487" t="s">
        <v>52</v>
      </c>
      <c r="P487" t="s">
        <v>472</v>
      </c>
    </row>
    <row r="488" spans="1:16" x14ac:dyDescent="0.3">
      <c r="A488" t="s">
        <v>788</v>
      </c>
      <c r="B488" t="s">
        <v>62</v>
      </c>
      <c r="C488" s="51">
        <v>46305.291666666664</v>
      </c>
      <c r="D488" s="51">
        <v>46303.706944444442</v>
      </c>
      <c r="E488" t="s">
        <v>87</v>
      </c>
      <c r="F488" t="s">
        <v>53</v>
      </c>
      <c r="G488" t="s">
        <v>54</v>
      </c>
      <c r="H488" t="s">
        <v>63</v>
      </c>
      <c r="I488" t="s">
        <v>64</v>
      </c>
      <c r="J488" t="s">
        <v>65</v>
      </c>
      <c r="K488" t="s">
        <v>481</v>
      </c>
      <c r="L488" t="s">
        <v>470</v>
      </c>
      <c r="M488" t="s">
        <v>471</v>
      </c>
      <c r="O488" t="s">
        <v>52</v>
      </c>
      <c r="P488" t="s">
        <v>472</v>
      </c>
    </row>
    <row r="489" spans="1:16" x14ac:dyDescent="0.3">
      <c r="A489" t="s">
        <v>789</v>
      </c>
      <c r="B489" t="s">
        <v>113</v>
      </c>
      <c r="C489" s="51">
        <v>46308.938194444447</v>
      </c>
      <c r="D489" s="51">
        <v>46303.706944444442</v>
      </c>
      <c r="E489" t="s">
        <v>87</v>
      </c>
      <c r="F489" t="s">
        <v>48</v>
      </c>
      <c r="G489" t="s">
        <v>49</v>
      </c>
      <c r="H489" t="s">
        <v>114</v>
      </c>
      <c r="I489" t="s">
        <v>115</v>
      </c>
      <c r="J489" t="s">
        <v>116</v>
      </c>
      <c r="K489" t="s">
        <v>469</v>
      </c>
      <c r="L489" t="s">
        <v>470</v>
      </c>
      <c r="M489" t="s">
        <v>471</v>
      </c>
      <c r="N489">
        <v>15765394</v>
      </c>
      <c r="O489" t="s">
        <v>52</v>
      </c>
      <c r="P489" t="s">
        <v>472</v>
      </c>
    </row>
    <row r="490" spans="1:16" x14ac:dyDescent="0.3">
      <c r="A490" t="s">
        <v>790</v>
      </c>
      <c r="B490" t="s">
        <v>62</v>
      </c>
      <c r="C490" s="51">
        <v>46305.291666666664</v>
      </c>
      <c r="D490" s="51">
        <v>46303.706944444442</v>
      </c>
      <c r="E490" t="s">
        <v>87</v>
      </c>
      <c r="F490" t="s">
        <v>53</v>
      </c>
      <c r="G490" t="s">
        <v>54</v>
      </c>
      <c r="H490" t="s">
        <v>63</v>
      </c>
      <c r="I490" t="s">
        <v>64</v>
      </c>
      <c r="J490" t="s">
        <v>65</v>
      </c>
      <c r="K490" t="s">
        <v>481</v>
      </c>
      <c r="L490" t="s">
        <v>470</v>
      </c>
      <c r="M490" t="s">
        <v>471</v>
      </c>
      <c r="O490" t="s">
        <v>52</v>
      </c>
      <c r="P490" t="s">
        <v>472</v>
      </c>
    </row>
    <row r="491" spans="1:16" x14ac:dyDescent="0.3">
      <c r="A491" t="s">
        <v>791</v>
      </c>
      <c r="B491" t="s">
        <v>113</v>
      </c>
      <c r="C491" s="51">
        <v>46308.938194444447</v>
      </c>
      <c r="D491" s="51">
        <v>46303.706944444442</v>
      </c>
      <c r="E491" t="s">
        <v>87</v>
      </c>
      <c r="F491" t="s">
        <v>48</v>
      </c>
      <c r="G491" t="s">
        <v>49</v>
      </c>
      <c r="H491" t="s">
        <v>114</v>
      </c>
      <c r="I491" t="s">
        <v>115</v>
      </c>
      <c r="J491" t="s">
        <v>116</v>
      </c>
      <c r="K491" t="s">
        <v>469</v>
      </c>
      <c r="L491" t="s">
        <v>470</v>
      </c>
      <c r="M491" t="s">
        <v>471</v>
      </c>
      <c r="N491">
        <v>15765392</v>
      </c>
      <c r="O491" t="s">
        <v>52</v>
      </c>
      <c r="P491" t="s">
        <v>472</v>
      </c>
    </row>
    <row r="492" spans="1:16" x14ac:dyDescent="0.3">
      <c r="A492" t="s">
        <v>792</v>
      </c>
      <c r="B492" t="s">
        <v>113</v>
      </c>
      <c r="C492" s="51">
        <v>46308.938194444447</v>
      </c>
      <c r="D492" s="51">
        <v>46303.706944444442</v>
      </c>
      <c r="E492" t="s">
        <v>87</v>
      </c>
      <c r="F492" t="s">
        <v>48</v>
      </c>
      <c r="G492" t="s">
        <v>49</v>
      </c>
      <c r="H492" t="s">
        <v>114</v>
      </c>
      <c r="I492" t="s">
        <v>115</v>
      </c>
      <c r="J492" t="s">
        <v>116</v>
      </c>
      <c r="K492" t="s">
        <v>469</v>
      </c>
      <c r="L492" t="s">
        <v>470</v>
      </c>
      <c r="M492" t="s">
        <v>471</v>
      </c>
      <c r="N492">
        <v>15765202</v>
      </c>
      <c r="O492" t="s">
        <v>52</v>
      </c>
      <c r="P492" t="s">
        <v>472</v>
      </c>
    </row>
    <row r="493" spans="1:16" x14ac:dyDescent="0.3">
      <c r="A493" t="s">
        <v>793</v>
      </c>
      <c r="B493" t="s">
        <v>113</v>
      </c>
      <c r="C493" s="51">
        <v>46308.938194444447</v>
      </c>
      <c r="D493" s="51">
        <v>46303.706944444442</v>
      </c>
      <c r="E493" t="s">
        <v>87</v>
      </c>
      <c r="F493" t="s">
        <v>48</v>
      </c>
      <c r="G493" t="s">
        <v>49</v>
      </c>
      <c r="H493" t="s">
        <v>114</v>
      </c>
      <c r="I493" t="s">
        <v>115</v>
      </c>
      <c r="J493" t="s">
        <v>116</v>
      </c>
      <c r="K493" t="s">
        <v>469</v>
      </c>
      <c r="L493" t="s">
        <v>470</v>
      </c>
      <c r="M493" t="s">
        <v>471</v>
      </c>
      <c r="N493">
        <v>15765214</v>
      </c>
      <c r="O493" t="s">
        <v>52</v>
      </c>
      <c r="P493" t="s">
        <v>472</v>
      </c>
    </row>
    <row r="494" spans="1:16" x14ac:dyDescent="0.3">
      <c r="A494" t="s">
        <v>794</v>
      </c>
      <c r="B494" t="s">
        <v>113</v>
      </c>
      <c r="C494" s="51">
        <v>46308.938194444447</v>
      </c>
      <c r="D494" s="51">
        <v>46303.706944444442</v>
      </c>
      <c r="E494" t="s">
        <v>87</v>
      </c>
      <c r="F494" t="s">
        <v>48</v>
      </c>
      <c r="G494" t="s">
        <v>49</v>
      </c>
      <c r="H494" t="s">
        <v>114</v>
      </c>
      <c r="I494" t="s">
        <v>115</v>
      </c>
      <c r="J494" t="s">
        <v>116</v>
      </c>
      <c r="K494" t="s">
        <v>469</v>
      </c>
      <c r="L494" t="s">
        <v>470</v>
      </c>
      <c r="M494" t="s">
        <v>471</v>
      </c>
      <c r="N494">
        <v>15765208</v>
      </c>
      <c r="O494" t="s">
        <v>52</v>
      </c>
      <c r="P494" t="s">
        <v>472</v>
      </c>
    </row>
    <row r="495" spans="1:16" x14ac:dyDescent="0.3">
      <c r="A495" t="s">
        <v>795</v>
      </c>
      <c r="B495" t="s">
        <v>62</v>
      </c>
      <c r="C495" s="51">
        <v>46304.666666666664</v>
      </c>
      <c r="D495" s="51">
        <v>46303.631944444445</v>
      </c>
      <c r="E495" t="s">
        <v>87</v>
      </c>
      <c r="F495" t="s">
        <v>53</v>
      </c>
      <c r="G495" t="s">
        <v>54</v>
      </c>
      <c r="H495" t="s">
        <v>63</v>
      </c>
      <c r="I495" t="s">
        <v>64</v>
      </c>
      <c r="J495" t="s">
        <v>65</v>
      </c>
      <c r="K495" t="s">
        <v>481</v>
      </c>
      <c r="L495" t="s">
        <v>470</v>
      </c>
      <c r="M495" t="s">
        <v>471</v>
      </c>
      <c r="O495" t="s">
        <v>52</v>
      </c>
      <c r="P495" t="s">
        <v>472</v>
      </c>
    </row>
    <row r="496" spans="1:16" x14ac:dyDescent="0.3">
      <c r="A496" t="s">
        <v>796</v>
      </c>
      <c r="B496" t="s">
        <v>62</v>
      </c>
      <c r="C496" s="51">
        <v>46304.666666666664</v>
      </c>
      <c r="D496" s="51">
        <v>46303.631944444445</v>
      </c>
      <c r="E496" t="s">
        <v>87</v>
      </c>
      <c r="F496" t="s">
        <v>53</v>
      </c>
      <c r="G496" t="s">
        <v>54</v>
      </c>
      <c r="H496" t="s">
        <v>63</v>
      </c>
      <c r="I496" t="s">
        <v>64</v>
      </c>
      <c r="J496" t="s">
        <v>65</v>
      </c>
      <c r="K496" t="s">
        <v>481</v>
      </c>
      <c r="L496" t="s">
        <v>470</v>
      </c>
      <c r="M496" t="s">
        <v>471</v>
      </c>
      <c r="O496" t="s">
        <v>52</v>
      </c>
      <c r="P496" t="s">
        <v>472</v>
      </c>
    </row>
    <row r="497" spans="1:16" x14ac:dyDescent="0.3">
      <c r="A497" t="s">
        <v>797</v>
      </c>
      <c r="B497" t="s">
        <v>62</v>
      </c>
      <c r="C497" s="51">
        <v>46304.666666666664</v>
      </c>
      <c r="D497" s="51">
        <v>46303.631944444445</v>
      </c>
      <c r="E497" t="s">
        <v>87</v>
      </c>
      <c r="F497" t="s">
        <v>53</v>
      </c>
      <c r="G497" t="s">
        <v>54</v>
      </c>
      <c r="H497" t="s">
        <v>63</v>
      </c>
      <c r="I497" t="s">
        <v>64</v>
      </c>
      <c r="J497" t="s">
        <v>65</v>
      </c>
      <c r="K497" t="s">
        <v>481</v>
      </c>
      <c r="L497" t="s">
        <v>470</v>
      </c>
      <c r="M497" t="s">
        <v>471</v>
      </c>
      <c r="O497" t="s">
        <v>52</v>
      </c>
      <c r="P497" t="s">
        <v>472</v>
      </c>
    </row>
    <row r="498" spans="1:16" x14ac:dyDescent="0.3">
      <c r="A498" t="s">
        <v>798</v>
      </c>
      <c r="B498" t="s">
        <v>74</v>
      </c>
      <c r="C498" s="51">
        <v>46307.938194444447</v>
      </c>
      <c r="D498" s="51">
        <v>46303.631944444445</v>
      </c>
      <c r="E498" t="s">
        <v>87</v>
      </c>
      <c r="F498" t="s">
        <v>48</v>
      </c>
      <c r="G498" t="s">
        <v>49</v>
      </c>
      <c r="H498" t="s">
        <v>75</v>
      </c>
      <c r="I498" t="s">
        <v>76</v>
      </c>
      <c r="J498" t="s">
        <v>70</v>
      </c>
      <c r="K498" t="s">
        <v>469</v>
      </c>
      <c r="L498" t="s">
        <v>470</v>
      </c>
      <c r="M498" t="s">
        <v>471</v>
      </c>
      <c r="N498">
        <v>15760580</v>
      </c>
      <c r="O498" t="s">
        <v>52</v>
      </c>
      <c r="P498" t="s">
        <v>472</v>
      </c>
    </row>
    <row r="499" spans="1:16" x14ac:dyDescent="0.3">
      <c r="A499" t="s">
        <v>799</v>
      </c>
      <c r="B499" t="s">
        <v>113</v>
      </c>
      <c r="C499" s="51">
        <v>46307.938194444447</v>
      </c>
      <c r="D499" s="51">
        <v>46303.631944444445</v>
      </c>
      <c r="E499" t="s">
        <v>87</v>
      </c>
      <c r="F499" t="s">
        <v>48</v>
      </c>
      <c r="G499" t="s">
        <v>49</v>
      </c>
      <c r="H499" t="s">
        <v>114</v>
      </c>
      <c r="I499" t="s">
        <v>115</v>
      </c>
      <c r="J499" t="s">
        <v>116</v>
      </c>
      <c r="K499" t="s">
        <v>469</v>
      </c>
      <c r="L499" t="s">
        <v>470</v>
      </c>
      <c r="M499" t="s">
        <v>471</v>
      </c>
      <c r="N499">
        <v>15760052</v>
      </c>
      <c r="O499" t="s">
        <v>52</v>
      </c>
      <c r="P499" t="s">
        <v>472</v>
      </c>
    </row>
    <row r="500" spans="1:16" x14ac:dyDescent="0.3">
      <c r="A500" t="s">
        <v>800</v>
      </c>
      <c r="B500" t="s">
        <v>74</v>
      </c>
      <c r="C500" s="51">
        <v>46307.938194444447</v>
      </c>
      <c r="D500" s="51">
        <v>46303.631944444445</v>
      </c>
      <c r="E500" t="s">
        <v>87</v>
      </c>
      <c r="F500" t="s">
        <v>48</v>
      </c>
      <c r="G500" t="s">
        <v>49</v>
      </c>
      <c r="H500" t="s">
        <v>75</v>
      </c>
      <c r="I500" t="s">
        <v>76</v>
      </c>
      <c r="J500" t="s">
        <v>70</v>
      </c>
      <c r="K500" t="s">
        <v>469</v>
      </c>
      <c r="L500" t="s">
        <v>470</v>
      </c>
      <c r="M500" t="s">
        <v>471</v>
      </c>
      <c r="N500">
        <v>15760198</v>
      </c>
      <c r="O500" t="s">
        <v>52</v>
      </c>
      <c r="P500" t="s">
        <v>472</v>
      </c>
    </row>
    <row r="501" spans="1:16" x14ac:dyDescent="0.3">
      <c r="A501" t="s">
        <v>801</v>
      </c>
      <c r="B501" t="s">
        <v>74</v>
      </c>
      <c r="C501" s="51">
        <v>46308.419444444444</v>
      </c>
      <c r="D501" s="51">
        <v>46303.630555555559</v>
      </c>
      <c r="E501" t="s">
        <v>494</v>
      </c>
      <c r="F501" t="s">
        <v>48</v>
      </c>
      <c r="G501" t="s">
        <v>49</v>
      </c>
      <c r="H501" t="s">
        <v>75</v>
      </c>
      <c r="I501" t="s">
        <v>76</v>
      </c>
      <c r="J501" t="s">
        <v>70</v>
      </c>
      <c r="K501" t="s">
        <v>469</v>
      </c>
      <c r="L501" t="s">
        <v>470</v>
      </c>
      <c r="M501">
        <v>100609</v>
      </c>
      <c r="O501" t="s">
        <v>52</v>
      </c>
      <c r="P501" t="s">
        <v>474</v>
      </c>
    </row>
    <row r="502" spans="1:16" x14ac:dyDescent="0.3">
      <c r="A502" t="s">
        <v>802</v>
      </c>
      <c r="B502" t="s">
        <v>152</v>
      </c>
      <c r="C502" s="51">
        <v>46304.625</v>
      </c>
      <c r="D502" s="51">
        <v>46303.614583333336</v>
      </c>
      <c r="E502" t="s">
        <v>87</v>
      </c>
      <c r="F502" t="s">
        <v>53</v>
      </c>
      <c r="G502" t="s">
        <v>54</v>
      </c>
      <c r="H502" t="s">
        <v>63</v>
      </c>
      <c r="I502" t="s">
        <v>64</v>
      </c>
      <c r="J502" t="s">
        <v>65</v>
      </c>
      <c r="K502" t="s">
        <v>481</v>
      </c>
      <c r="L502" t="s">
        <v>473</v>
      </c>
      <c r="M502">
        <v>0</v>
      </c>
      <c r="O502" t="s">
        <v>129</v>
      </c>
      <c r="P502" t="s">
        <v>474</v>
      </c>
    </row>
    <row r="503" spans="1:16" x14ac:dyDescent="0.3">
      <c r="A503" t="s">
        <v>803</v>
      </c>
      <c r="B503" t="s">
        <v>62</v>
      </c>
      <c r="C503" s="51">
        <v>46304.625</v>
      </c>
      <c r="D503" s="51">
        <v>46303.609027777777</v>
      </c>
      <c r="E503" t="s">
        <v>87</v>
      </c>
      <c r="F503" t="s">
        <v>53</v>
      </c>
      <c r="G503" t="s">
        <v>54</v>
      </c>
      <c r="H503" t="s">
        <v>63</v>
      </c>
      <c r="I503" t="s">
        <v>64</v>
      </c>
      <c r="J503" t="s">
        <v>65</v>
      </c>
      <c r="K503" t="s">
        <v>481</v>
      </c>
      <c r="L503" t="s">
        <v>470</v>
      </c>
      <c r="M503" t="s">
        <v>471</v>
      </c>
      <c r="O503" t="s">
        <v>52</v>
      </c>
      <c r="P503" t="s">
        <v>472</v>
      </c>
    </row>
    <row r="504" spans="1:16" x14ac:dyDescent="0.3">
      <c r="A504" t="s">
        <v>804</v>
      </c>
      <c r="B504" t="s">
        <v>62</v>
      </c>
      <c r="C504" s="51">
        <v>46304.625</v>
      </c>
      <c r="D504" s="51">
        <v>46303.609027777777</v>
      </c>
      <c r="E504" t="s">
        <v>87</v>
      </c>
      <c r="F504" t="s">
        <v>53</v>
      </c>
      <c r="G504" t="s">
        <v>54</v>
      </c>
      <c r="H504" t="s">
        <v>63</v>
      </c>
      <c r="I504" t="s">
        <v>64</v>
      </c>
      <c r="J504" t="s">
        <v>65</v>
      </c>
      <c r="K504" t="s">
        <v>481</v>
      </c>
      <c r="L504" t="s">
        <v>470</v>
      </c>
      <c r="M504" t="s">
        <v>471</v>
      </c>
      <c r="O504" t="s">
        <v>52</v>
      </c>
      <c r="P504" t="s">
        <v>472</v>
      </c>
    </row>
    <row r="505" spans="1:16" x14ac:dyDescent="0.3">
      <c r="A505" t="s">
        <v>805</v>
      </c>
      <c r="B505" t="s">
        <v>67</v>
      </c>
      <c r="C505" s="51">
        <v>46308.938194444447</v>
      </c>
      <c r="D505" s="51">
        <v>46303.609027777777</v>
      </c>
      <c r="E505" t="s">
        <v>87</v>
      </c>
      <c r="F505" t="s">
        <v>48</v>
      </c>
      <c r="G505" t="s">
        <v>49</v>
      </c>
      <c r="H505" t="s">
        <v>68</v>
      </c>
      <c r="I505" t="s">
        <v>69</v>
      </c>
      <c r="J505" t="s">
        <v>70</v>
      </c>
      <c r="K505" t="s">
        <v>469</v>
      </c>
      <c r="L505" t="s">
        <v>470</v>
      </c>
      <c r="M505" t="s">
        <v>471</v>
      </c>
      <c r="N505">
        <v>15760010</v>
      </c>
      <c r="O505" t="s">
        <v>52</v>
      </c>
      <c r="P505" t="s">
        <v>472</v>
      </c>
    </row>
    <row r="506" spans="1:16" x14ac:dyDescent="0.3">
      <c r="A506" t="s">
        <v>806</v>
      </c>
      <c r="B506" t="s">
        <v>47</v>
      </c>
      <c r="C506" s="51">
        <v>46308.938194444447</v>
      </c>
      <c r="D506" s="51">
        <v>46303.609027777777</v>
      </c>
      <c r="E506" t="s">
        <v>87</v>
      </c>
      <c r="F506" t="s">
        <v>48</v>
      </c>
      <c r="G506" t="s">
        <v>49</v>
      </c>
      <c r="H506" t="s">
        <v>50</v>
      </c>
      <c r="I506" t="s">
        <v>149</v>
      </c>
      <c r="J506" t="s">
        <v>51</v>
      </c>
      <c r="K506" t="s">
        <v>469</v>
      </c>
      <c r="L506" t="s">
        <v>470</v>
      </c>
      <c r="M506" t="s">
        <v>471</v>
      </c>
      <c r="N506">
        <v>15760004</v>
      </c>
      <c r="O506" t="s">
        <v>52</v>
      </c>
      <c r="P506" t="s">
        <v>472</v>
      </c>
    </row>
    <row r="507" spans="1:16" x14ac:dyDescent="0.3">
      <c r="A507" t="s">
        <v>807</v>
      </c>
      <c r="B507" t="s">
        <v>62</v>
      </c>
      <c r="C507" s="51">
        <v>46304.625</v>
      </c>
      <c r="D507" s="51">
        <v>46303.597916666666</v>
      </c>
      <c r="E507" t="s">
        <v>87</v>
      </c>
      <c r="F507" t="s">
        <v>53</v>
      </c>
      <c r="G507" t="s">
        <v>54</v>
      </c>
      <c r="H507" t="s">
        <v>63</v>
      </c>
      <c r="I507" t="s">
        <v>64</v>
      </c>
      <c r="J507" t="s">
        <v>65</v>
      </c>
      <c r="K507" t="s">
        <v>481</v>
      </c>
      <c r="L507" t="s">
        <v>470</v>
      </c>
      <c r="M507" t="s">
        <v>471</v>
      </c>
      <c r="O507" t="s">
        <v>52</v>
      </c>
      <c r="P507" t="s">
        <v>472</v>
      </c>
    </row>
    <row r="508" spans="1:16" x14ac:dyDescent="0.3">
      <c r="A508" t="s">
        <v>808</v>
      </c>
      <c r="B508" t="s">
        <v>67</v>
      </c>
      <c r="C508" s="51">
        <v>46307.938194444447</v>
      </c>
      <c r="D508" s="51">
        <v>46303.597916666666</v>
      </c>
      <c r="E508" t="s">
        <v>87</v>
      </c>
      <c r="F508" t="s">
        <v>48</v>
      </c>
      <c r="G508" t="s">
        <v>49</v>
      </c>
      <c r="H508" t="s">
        <v>68</v>
      </c>
      <c r="I508" t="s">
        <v>69</v>
      </c>
      <c r="J508" t="s">
        <v>70</v>
      </c>
      <c r="K508" t="s">
        <v>469</v>
      </c>
      <c r="L508" t="s">
        <v>470</v>
      </c>
      <c r="M508" t="s">
        <v>471</v>
      </c>
      <c r="N508">
        <v>15759848</v>
      </c>
      <c r="O508" t="s">
        <v>52</v>
      </c>
      <c r="P508" t="s">
        <v>472</v>
      </c>
    </row>
    <row r="509" spans="1:16" x14ac:dyDescent="0.3">
      <c r="A509" t="s">
        <v>809</v>
      </c>
      <c r="B509" t="s">
        <v>108</v>
      </c>
      <c r="C509" s="51">
        <v>46304.583333333336</v>
      </c>
      <c r="D509" s="51">
        <v>46303.563194444447</v>
      </c>
      <c r="E509" t="s">
        <v>87</v>
      </c>
      <c r="F509" t="s">
        <v>77</v>
      </c>
      <c r="G509" t="s">
        <v>107</v>
      </c>
      <c r="H509" t="s">
        <v>109</v>
      </c>
      <c r="I509" t="s">
        <v>122</v>
      </c>
      <c r="J509" t="s">
        <v>123</v>
      </c>
      <c r="K509" t="s">
        <v>475</v>
      </c>
      <c r="L509" t="s">
        <v>473</v>
      </c>
      <c r="M509" t="s">
        <v>510</v>
      </c>
      <c r="O509" t="s">
        <v>56</v>
      </c>
      <c r="P509" t="s">
        <v>474</v>
      </c>
    </row>
    <row r="510" spans="1:16" x14ac:dyDescent="0.3">
      <c r="A510" t="s">
        <v>810</v>
      </c>
      <c r="B510" t="s">
        <v>62</v>
      </c>
      <c r="C510" s="51">
        <v>46304.583333333336</v>
      </c>
      <c r="D510" s="51">
        <v>46303.552083333336</v>
      </c>
      <c r="E510" t="s">
        <v>87</v>
      </c>
      <c r="F510" t="s">
        <v>53</v>
      </c>
      <c r="G510" t="s">
        <v>54</v>
      </c>
      <c r="H510" t="s">
        <v>63</v>
      </c>
      <c r="I510" t="s">
        <v>64</v>
      </c>
      <c r="J510" t="s">
        <v>65</v>
      </c>
      <c r="K510" t="s">
        <v>481</v>
      </c>
      <c r="L510" t="s">
        <v>470</v>
      </c>
      <c r="M510" t="s">
        <v>471</v>
      </c>
      <c r="O510" t="s">
        <v>52</v>
      </c>
      <c r="P510" t="s">
        <v>472</v>
      </c>
    </row>
    <row r="511" spans="1:16" x14ac:dyDescent="0.3">
      <c r="A511" t="s">
        <v>811</v>
      </c>
      <c r="B511" t="s">
        <v>67</v>
      </c>
      <c r="C511" s="51">
        <v>46307.938194444447</v>
      </c>
      <c r="D511" s="51">
        <v>46303.549305555556</v>
      </c>
      <c r="E511" t="s">
        <v>87</v>
      </c>
      <c r="F511" t="s">
        <v>48</v>
      </c>
      <c r="G511" t="s">
        <v>49</v>
      </c>
      <c r="H511" t="s">
        <v>68</v>
      </c>
      <c r="I511" t="s">
        <v>69</v>
      </c>
      <c r="J511" t="s">
        <v>70</v>
      </c>
      <c r="K511" t="s">
        <v>469</v>
      </c>
      <c r="L511" t="s">
        <v>470</v>
      </c>
      <c r="M511" t="s">
        <v>471</v>
      </c>
      <c r="N511">
        <v>15759406</v>
      </c>
      <c r="O511" t="s">
        <v>52</v>
      </c>
      <c r="P511" t="s">
        <v>472</v>
      </c>
    </row>
    <row r="512" spans="1:16" x14ac:dyDescent="0.3">
      <c r="A512" t="s">
        <v>812</v>
      </c>
      <c r="B512" t="s">
        <v>62</v>
      </c>
      <c r="C512" s="51">
        <v>46304.541666666664</v>
      </c>
      <c r="D512" s="51">
        <v>46303.503472222219</v>
      </c>
      <c r="E512" t="s">
        <v>87</v>
      </c>
      <c r="F512" t="s">
        <v>53</v>
      </c>
      <c r="G512" t="s">
        <v>54</v>
      </c>
      <c r="H512" t="s">
        <v>63</v>
      </c>
      <c r="I512" t="s">
        <v>64</v>
      </c>
      <c r="J512" t="s">
        <v>65</v>
      </c>
      <c r="K512" t="s">
        <v>481</v>
      </c>
      <c r="L512" t="s">
        <v>470</v>
      </c>
      <c r="M512" t="s">
        <v>471</v>
      </c>
      <c r="O512" t="s">
        <v>52</v>
      </c>
      <c r="P512" t="s">
        <v>472</v>
      </c>
    </row>
    <row r="513" spans="1:16" x14ac:dyDescent="0.3">
      <c r="A513" t="s">
        <v>813</v>
      </c>
      <c r="B513" t="s">
        <v>67</v>
      </c>
      <c r="C513" s="51">
        <v>46307.938194444447</v>
      </c>
      <c r="D513" s="51">
        <v>46303.503472222219</v>
      </c>
      <c r="E513" t="s">
        <v>87</v>
      </c>
      <c r="F513" t="s">
        <v>48</v>
      </c>
      <c r="G513" t="s">
        <v>49</v>
      </c>
      <c r="H513" t="s">
        <v>68</v>
      </c>
      <c r="I513" t="s">
        <v>69</v>
      </c>
      <c r="J513" t="s">
        <v>70</v>
      </c>
      <c r="K513" t="s">
        <v>469</v>
      </c>
      <c r="L513" t="s">
        <v>470</v>
      </c>
      <c r="M513" t="s">
        <v>471</v>
      </c>
      <c r="N513">
        <v>15759326</v>
      </c>
      <c r="O513" t="s">
        <v>52</v>
      </c>
      <c r="P513" t="s">
        <v>472</v>
      </c>
    </row>
    <row r="514" spans="1:16" x14ac:dyDescent="0.3">
      <c r="A514" t="s">
        <v>814</v>
      </c>
      <c r="B514" t="s">
        <v>47</v>
      </c>
      <c r="C514" s="51">
        <v>46307.938194444447</v>
      </c>
      <c r="D514" s="51">
        <v>46303.501388888886</v>
      </c>
      <c r="E514" t="s">
        <v>87</v>
      </c>
      <c r="F514" t="s">
        <v>48</v>
      </c>
      <c r="G514" t="s">
        <v>49</v>
      </c>
      <c r="H514" t="s">
        <v>50</v>
      </c>
      <c r="I514" t="s">
        <v>66</v>
      </c>
      <c r="J514" t="s">
        <v>51</v>
      </c>
      <c r="K514" t="s">
        <v>469</v>
      </c>
      <c r="L514" t="s">
        <v>470</v>
      </c>
      <c r="M514" t="s">
        <v>471</v>
      </c>
      <c r="N514">
        <v>15759268</v>
      </c>
      <c r="O514" t="s">
        <v>52</v>
      </c>
      <c r="P514" t="s">
        <v>472</v>
      </c>
    </row>
    <row r="515" spans="1:16" x14ac:dyDescent="0.3">
      <c r="A515" t="s">
        <v>815</v>
      </c>
      <c r="B515" t="s">
        <v>108</v>
      </c>
      <c r="C515" s="51">
        <v>46304.5</v>
      </c>
      <c r="D515" s="51">
        <v>46303.489583333336</v>
      </c>
      <c r="E515" t="s">
        <v>87</v>
      </c>
      <c r="F515" t="s">
        <v>77</v>
      </c>
      <c r="G515" t="s">
        <v>107</v>
      </c>
      <c r="H515" t="s">
        <v>109</v>
      </c>
      <c r="I515" t="s">
        <v>122</v>
      </c>
      <c r="J515" t="s">
        <v>123</v>
      </c>
      <c r="K515" t="s">
        <v>90</v>
      </c>
      <c r="L515" t="s">
        <v>473</v>
      </c>
      <c r="M515" t="s">
        <v>480</v>
      </c>
      <c r="O515" t="s">
        <v>129</v>
      </c>
      <c r="P515" t="s">
        <v>474</v>
      </c>
    </row>
    <row r="516" spans="1:16" x14ac:dyDescent="0.3">
      <c r="A516" t="s">
        <v>816</v>
      </c>
      <c r="B516" t="s">
        <v>62</v>
      </c>
      <c r="C516" s="51">
        <v>46304.5</v>
      </c>
      <c r="D516" s="51">
        <v>46303.479861111111</v>
      </c>
      <c r="E516" t="s">
        <v>87</v>
      </c>
      <c r="F516" t="s">
        <v>53</v>
      </c>
      <c r="G516" t="s">
        <v>54</v>
      </c>
      <c r="H516" t="s">
        <v>63</v>
      </c>
      <c r="I516" t="s">
        <v>64</v>
      </c>
      <c r="J516" t="s">
        <v>65</v>
      </c>
      <c r="K516" t="s">
        <v>481</v>
      </c>
      <c r="L516" t="s">
        <v>470</v>
      </c>
      <c r="M516" t="s">
        <v>471</v>
      </c>
      <c r="O516" t="s">
        <v>52</v>
      </c>
      <c r="P516" t="s">
        <v>472</v>
      </c>
    </row>
    <row r="517" spans="1:16" x14ac:dyDescent="0.3">
      <c r="A517" t="s">
        <v>817</v>
      </c>
      <c r="B517" t="s">
        <v>47</v>
      </c>
      <c r="C517" s="51">
        <v>46307.9375</v>
      </c>
      <c r="D517" s="51">
        <v>46303.479861111111</v>
      </c>
      <c r="E517" t="s">
        <v>87</v>
      </c>
      <c r="F517" t="s">
        <v>48</v>
      </c>
      <c r="G517" t="s">
        <v>49</v>
      </c>
      <c r="H517" t="s">
        <v>50</v>
      </c>
      <c r="I517" t="s">
        <v>149</v>
      </c>
      <c r="J517" t="s">
        <v>51</v>
      </c>
      <c r="K517" t="s">
        <v>469</v>
      </c>
      <c r="L517" t="s">
        <v>470</v>
      </c>
      <c r="M517" t="s">
        <v>471</v>
      </c>
      <c r="N517">
        <v>15758664</v>
      </c>
      <c r="O517" t="s">
        <v>52</v>
      </c>
      <c r="P517" t="s">
        <v>472</v>
      </c>
    </row>
    <row r="518" spans="1:16" x14ac:dyDescent="0.3">
      <c r="A518" t="s">
        <v>818</v>
      </c>
      <c r="B518" t="s">
        <v>62</v>
      </c>
      <c r="C518" s="51">
        <v>46304.5</v>
      </c>
      <c r="D518" s="51">
        <v>46303.452777777777</v>
      </c>
      <c r="E518" t="s">
        <v>87</v>
      </c>
      <c r="F518" t="s">
        <v>53</v>
      </c>
      <c r="G518" t="s">
        <v>54</v>
      </c>
      <c r="H518" t="s">
        <v>63</v>
      </c>
      <c r="I518" t="s">
        <v>64</v>
      </c>
      <c r="J518" t="s">
        <v>65</v>
      </c>
      <c r="K518" t="s">
        <v>481</v>
      </c>
      <c r="L518" t="s">
        <v>470</v>
      </c>
      <c r="M518" t="s">
        <v>471</v>
      </c>
      <c r="O518" t="s">
        <v>52</v>
      </c>
      <c r="P518" t="s">
        <v>472</v>
      </c>
    </row>
    <row r="519" spans="1:16" x14ac:dyDescent="0.3">
      <c r="A519" t="s">
        <v>819</v>
      </c>
      <c r="B519" t="s">
        <v>62</v>
      </c>
      <c r="C519" s="51">
        <v>46304.5</v>
      </c>
      <c r="D519" s="51">
        <v>46303.452777777777</v>
      </c>
      <c r="E519" t="s">
        <v>87</v>
      </c>
      <c r="F519" t="s">
        <v>53</v>
      </c>
      <c r="G519" t="s">
        <v>54</v>
      </c>
      <c r="H519" t="s">
        <v>63</v>
      </c>
      <c r="I519" t="s">
        <v>64</v>
      </c>
      <c r="J519" t="s">
        <v>65</v>
      </c>
      <c r="K519" t="s">
        <v>481</v>
      </c>
      <c r="L519" t="s">
        <v>470</v>
      </c>
      <c r="M519" t="s">
        <v>471</v>
      </c>
      <c r="O519" t="s">
        <v>52</v>
      </c>
      <c r="P519" t="s">
        <v>472</v>
      </c>
    </row>
    <row r="520" spans="1:16" x14ac:dyDescent="0.3">
      <c r="A520" t="s">
        <v>820</v>
      </c>
      <c r="B520" t="s">
        <v>71</v>
      </c>
      <c r="C520" s="51">
        <v>46304.9375</v>
      </c>
      <c r="D520" s="51">
        <v>46303.452777777777</v>
      </c>
      <c r="E520" t="s">
        <v>87</v>
      </c>
      <c r="F520" t="s">
        <v>48</v>
      </c>
      <c r="G520" t="s">
        <v>49</v>
      </c>
      <c r="H520" t="s">
        <v>72</v>
      </c>
      <c r="I520" t="s">
        <v>73</v>
      </c>
      <c r="J520" t="s">
        <v>70</v>
      </c>
      <c r="K520" t="s">
        <v>469</v>
      </c>
      <c r="L520" t="s">
        <v>470</v>
      </c>
      <c r="M520" t="s">
        <v>471</v>
      </c>
      <c r="N520">
        <v>15758620</v>
      </c>
      <c r="O520" t="s">
        <v>52</v>
      </c>
      <c r="P520" t="s">
        <v>472</v>
      </c>
    </row>
    <row r="521" spans="1:16" x14ac:dyDescent="0.3">
      <c r="A521" t="s">
        <v>821</v>
      </c>
      <c r="B521" t="s">
        <v>71</v>
      </c>
      <c r="C521" s="51">
        <v>46304.938194444447</v>
      </c>
      <c r="D521" s="51">
        <v>46303.452777777777</v>
      </c>
      <c r="E521" t="s">
        <v>87</v>
      </c>
      <c r="F521" t="s">
        <v>48</v>
      </c>
      <c r="G521" t="s">
        <v>49</v>
      </c>
      <c r="H521" t="s">
        <v>72</v>
      </c>
      <c r="I521" t="s">
        <v>73</v>
      </c>
      <c r="J521" t="s">
        <v>70</v>
      </c>
      <c r="K521" t="s">
        <v>469</v>
      </c>
      <c r="L521" t="s">
        <v>470</v>
      </c>
      <c r="M521" t="s">
        <v>471</v>
      </c>
      <c r="N521">
        <v>15758650</v>
      </c>
      <c r="O521" t="s">
        <v>52</v>
      </c>
      <c r="P521" t="s">
        <v>472</v>
      </c>
    </row>
    <row r="522" spans="1:16" x14ac:dyDescent="0.3">
      <c r="A522" t="s">
        <v>822</v>
      </c>
      <c r="B522" t="s">
        <v>62</v>
      </c>
      <c r="C522" s="51">
        <v>46304.458333333336</v>
      </c>
      <c r="D522" s="51">
        <v>46303.4375</v>
      </c>
      <c r="E522" t="s">
        <v>87</v>
      </c>
      <c r="F522" t="s">
        <v>53</v>
      </c>
      <c r="G522" t="s">
        <v>54</v>
      </c>
      <c r="H522" t="s">
        <v>63</v>
      </c>
      <c r="I522" t="s">
        <v>64</v>
      </c>
      <c r="J522" t="s">
        <v>65</v>
      </c>
      <c r="K522" t="s">
        <v>481</v>
      </c>
      <c r="L522" t="s">
        <v>470</v>
      </c>
      <c r="M522" t="s">
        <v>471</v>
      </c>
      <c r="O522" t="s">
        <v>52</v>
      </c>
      <c r="P522" t="s">
        <v>472</v>
      </c>
    </row>
    <row r="523" spans="1:16" x14ac:dyDescent="0.3">
      <c r="A523" t="s">
        <v>823</v>
      </c>
      <c r="B523" t="s">
        <v>67</v>
      </c>
      <c r="C523" s="51">
        <v>46307.9375</v>
      </c>
      <c r="D523" s="51">
        <v>46303.4375</v>
      </c>
      <c r="E523" t="s">
        <v>87</v>
      </c>
      <c r="F523" t="s">
        <v>48</v>
      </c>
      <c r="G523" t="s">
        <v>49</v>
      </c>
      <c r="H523" t="s">
        <v>68</v>
      </c>
      <c r="I523" t="s">
        <v>69</v>
      </c>
      <c r="J523" t="s">
        <v>70</v>
      </c>
      <c r="K523" t="s">
        <v>469</v>
      </c>
      <c r="L523" t="s">
        <v>470</v>
      </c>
      <c r="M523" t="s">
        <v>471</v>
      </c>
      <c r="N523">
        <v>15758468</v>
      </c>
      <c r="O523" t="s">
        <v>52</v>
      </c>
      <c r="P523" t="s">
        <v>472</v>
      </c>
    </row>
    <row r="524" spans="1:16" x14ac:dyDescent="0.3">
      <c r="A524" t="s">
        <v>824</v>
      </c>
      <c r="B524" t="s">
        <v>62</v>
      </c>
      <c r="C524" s="51">
        <v>46304.458333333336</v>
      </c>
      <c r="D524" s="51">
        <v>46303.4375</v>
      </c>
      <c r="E524" t="s">
        <v>87</v>
      </c>
      <c r="F524" t="s">
        <v>53</v>
      </c>
      <c r="G524" t="s">
        <v>54</v>
      </c>
      <c r="H524" t="s">
        <v>63</v>
      </c>
      <c r="I524" t="s">
        <v>64</v>
      </c>
      <c r="J524" t="s">
        <v>65</v>
      </c>
      <c r="K524" t="s">
        <v>481</v>
      </c>
      <c r="L524" t="s">
        <v>470</v>
      </c>
      <c r="M524" t="s">
        <v>471</v>
      </c>
      <c r="O524" t="s">
        <v>52</v>
      </c>
      <c r="P524" t="s">
        <v>472</v>
      </c>
    </row>
    <row r="525" spans="1:16" x14ac:dyDescent="0.3">
      <c r="A525" t="s">
        <v>825</v>
      </c>
      <c r="B525" t="s">
        <v>67</v>
      </c>
      <c r="C525" s="51">
        <v>46307.9375</v>
      </c>
      <c r="D525" s="51">
        <v>46303.4375</v>
      </c>
      <c r="E525" t="s">
        <v>87</v>
      </c>
      <c r="F525" t="s">
        <v>48</v>
      </c>
      <c r="G525" t="s">
        <v>49</v>
      </c>
      <c r="H525" t="s">
        <v>68</v>
      </c>
      <c r="I525" t="s">
        <v>69</v>
      </c>
      <c r="J525" t="s">
        <v>70</v>
      </c>
      <c r="K525" t="s">
        <v>469</v>
      </c>
      <c r="L525" t="s">
        <v>470</v>
      </c>
      <c r="M525" t="s">
        <v>471</v>
      </c>
      <c r="N525">
        <v>15758424</v>
      </c>
      <c r="O525" t="s">
        <v>52</v>
      </c>
      <c r="P525" t="s">
        <v>472</v>
      </c>
    </row>
    <row r="526" spans="1:16" x14ac:dyDescent="0.3">
      <c r="A526" t="s">
        <v>826</v>
      </c>
      <c r="B526" t="s">
        <v>108</v>
      </c>
      <c r="C526" s="51">
        <v>46304.416666666664</v>
      </c>
      <c r="D526" s="51">
        <v>46303.415972222225</v>
      </c>
      <c r="E526" t="s">
        <v>87</v>
      </c>
      <c r="F526" t="s">
        <v>77</v>
      </c>
      <c r="G526" t="s">
        <v>107</v>
      </c>
      <c r="H526" t="s">
        <v>109</v>
      </c>
      <c r="I526" t="s">
        <v>122</v>
      </c>
      <c r="J526" t="s">
        <v>123</v>
      </c>
      <c r="K526" t="s">
        <v>475</v>
      </c>
      <c r="L526" t="s">
        <v>473</v>
      </c>
      <c r="M526" t="s">
        <v>524</v>
      </c>
      <c r="O526" t="s">
        <v>56</v>
      </c>
      <c r="P526" t="s">
        <v>474</v>
      </c>
    </row>
    <row r="527" spans="1:16" x14ac:dyDescent="0.3">
      <c r="A527" t="s">
        <v>827</v>
      </c>
      <c r="B527" t="s">
        <v>124</v>
      </c>
      <c r="C527" s="51">
        <v>46304.458333333336</v>
      </c>
      <c r="D527" s="51">
        <v>46303.411111111112</v>
      </c>
      <c r="E527" t="s">
        <v>87</v>
      </c>
      <c r="F527" t="s">
        <v>77</v>
      </c>
      <c r="G527" t="s">
        <v>107</v>
      </c>
      <c r="H527" t="s">
        <v>125</v>
      </c>
      <c r="I527" t="s">
        <v>122</v>
      </c>
      <c r="J527" t="s">
        <v>126</v>
      </c>
      <c r="K527" t="s">
        <v>475</v>
      </c>
      <c r="L527" t="s">
        <v>473</v>
      </c>
      <c r="M527" t="s">
        <v>510</v>
      </c>
      <c r="O527" t="s">
        <v>56</v>
      </c>
      <c r="P527" t="s">
        <v>474</v>
      </c>
    </row>
    <row r="528" spans="1:16" x14ac:dyDescent="0.3">
      <c r="A528" t="s">
        <v>828</v>
      </c>
      <c r="B528" t="s">
        <v>62</v>
      </c>
      <c r="C528" s="51">
        <v>46304.458333333336</v>
      </c>
      <c r="D528" s="51">
        <v>46303.408333333333</v>
      </c>
      <c r="E528" t="s">
        <v>87</v>
      </c>
      <c r="F528" t="s">
        <v>53</v>
      </c>
      <c r="G528" t="s">
        <v>54</v>
      </c>
      <c r="H528" t="s">
        <v>63</v>
      </c>
      <c r="I528" t="s">
        <v>64</v>
      </c>
      <c r="J528" t="s">
        <v>65</v>
      </c>
      <c r="K528" t="s">
        <v>481</v>
      </c>
      <c r="L528" t="s">
        <v>470</v>
      </c>
      <c r="M528" t="s">
        <v>471</v>
      </c>
      <c r="O528" t="s">
        <v>52</v>
      </c>
      <c r="P528" t="s">
        <v>472</v>
      </c>
    </row>
    <row r="529" spans="1:16" x14ac:dyDescent="0.3">
      <c r="A529" t="s">
        <v>829</v>
      </c>
      <c r="B529" t="s">
        <v>74</v>
      </c>
      <c r="C529" s="51">
        <v>46307.9375</v>
      </c>
      <c r="D529" s="51">
        <v>46303.40625</v>
      </c>
      <c r="E529" t="s">
        <v>87</v>
      </c>
      <c r="F529" t="s">
        <v>48</v>
      </c>
      <c r="G529" t="s">
        <v>49</v>
      </c>
      <c r="H529" t="s">
        <v>75</v>
      </c>
      <c r="I529" t="s">
        <v>86</v>
      </c>
      <c r="J529" t="s">
        <v>70</v>
      </c>
      <c r="K529" t="s">
        <v>469</v>
      </c>
      <c r="L529" t="s">
        <v>470</v>
      </c>
      <c r="M529" t="s">
        <v>471</v>
      </c>
      <c r="N529">
        <v>15758282</v>
      </c>
      <c r="O529" t="s">
        <v>52</v>
      </c>
      <c r="P529" t="s">
        <v>472</v>
      </c>
    </row>
    <row r="530" spans="1:16" x14ac:dyDescent="0.3">
      <c r="A530" t="s">
        <v>830</v>
      </c>
      <c r="B530" t="s">
        <v>62</v>
      </c>
      <c r="C530" s="51">
        <v>46304.458333333336</v>
      </c>
      <c r="D530" s="51">
        <v>46303.399305555555</v>
      </c>
      <c r="E530" t="s">
        <v>87</v>
      </c>
      <c r="F530" t="s">
        <v>53</v>
      </c>
      <c r="G530" t="s">
        <v>54</v>
      </c>
      <c r="H530" t="s">
        <v>63</v>
      </c>
      <c r="I530" t="s">
        <v>64</v>
      </c>
      <c r="J530" t="s">
        <v>65</v>
      </c>
      <c r="K530" t="s">
        <v>481</v>
      </c>
      <c r="L530" t="s">
        <v>470</v>
      </c>
      <c r="M530" t="s">
        <v>471</v>
      </c>
      <c r="O530" t="s">
        <v>52</v>
      </c>
      <c r="P530" t="s">
        <v>472</v>
      </c>
    </row>
    <row r="531" spans="1:16" x14ac:dyDescent="0.3">
      <c r="A531" t="s">
        <v>831</v>
      </c>
      <c r="B531" t="s">
        <v>62</v>
      </c>
      <c r="C531" s="51">
        <v>46304.458333333336</v>
      </c>
      <c r="D531" s="51">
        <v>46303.399305555555</v>
      </c>
      <c r="E531" t="s">
        <v>87</v>
      </c>
      <c r="F531" t="s">
        <v>53</v>
      </c>
      <c r="G531" t="s">
        <v>54</v>
      </c>
      <c r="H531" t="s">
        <v>63</v>
      </c>
      <c r="I531" t="s">
        <v>64</v>
      </c>
      <c r="J531" t="s">
        <v>65</v>
      </c>
      <c r="K531" t="s">
        <v>481</v>
      </c>
      <c r="L531" t="s">
        <v>470</v>
      </c>
      <c r="M531" t="s">
        <v>471</v>
      </c>
      <c r="O531" t="s">
        <v>52</v>
      </c>
      <c r="P531" t="s">
        <v>472</v>
      </c>
    </row>
    <row r="532" spans="1:16" x14ac:dyDescent="0.3">
      <c r="A532" t="s">
        <v>832</v>
      </c>
      <c r="B532" t="s">
        <v>74</v>
      </c>
      <c r="C532" s="51">
        <v>46307.9375</v>
      </c>
      <c r="D532" s="51">
        <v>46303.399305555555</v>
      </c>
      <c r="E532" t="s">
        <v>87</v>
      </c>
      <c r="F532" t="s">
        <v>48</v>
      </c>
      <c r="G532" t="s">
        <v>49</v>
      </c>
      <c r="H532" t="s">
        <v>75</v>
      </c>
      <c r="I532" t="s">
        <v>76</v>
      </c>
      <c r="J532" t="s">
        <v>70</v>
      </c>
      <c r="K532" t="s">
        <v>469</v>
      </c>
      <c r="L532" t="s">
        <v>470</v>
      </c>
      <c r="M532" t="s">
        <v>471</v>
      </c>
      <c r="N532">
        <v>15758238</v>
      </c>
      <c r="O532" t="s">
        <v>52</v>
      </c>
      <c r="P532" t="s">
        <v>472</v>
      </c>
    </row>
    <row r="533" spans="1:16" x14ac:dyDescent="0.3">
      <c r="A533" t="s">
        <v>833</v>
      </c>
      <c r="B533" t="s">
        <v>71</v>
      </c>
      <c r="C533" s="51">
        <v>46308.938194444447</v>
      </c>
      <c r="D533" s="51">
        <v>46303.399305555555</v>
      </c>
      <c r="E533" t="s">
        <v>87</v>
      </c>
      <c r="F533" t="s">
        <v>48</v>
      </c>
      <c r="G533" t="s">
        <v>49</v>
      </c>
      <c r="H533" t="s">
        <v>72</v>
      </c>
      <c r="I533" t="s">
        <v>73</v>
      </c>
      <c r="J533" t="s">
        <v>70</v>
      </c>
      <c r="K533" t="s">
        <v>469</v>
      </c>
      <c r="L533" t="s">
        <v>470</v>
      </c>
      <c r="M533" t="s">
        <v>471</v>
      </c>
      <c r="N533">
        <v>15758218</v>
      </c>
      <c r="O533" t="s">
        <v>52</v>
      </c>
      <c r="P533" t="s">
        <v>472</v>
      </c>
    </row>
    <row r="534" spans="1:16" x14ac:dyDescent="0.3">
      <c r="A534" t="s">
        <v>834</v>
      </c>
      <c r="B534" t="s">
        <v>62</v>
      </c>
      <c r="C534" s="51">
        <v>46304.375</v>
      </c>
      <c r="D534" s="51">
        <v>46303.34097222222</v>
      </c>
      <c r="E534" t="s">
        <v>87</v>
      </c>
      <c r="F534" t="s">
        <v>53</v>
      </c>
      <c r="G534" t="s">
        <v>54</v>
      </c>
      <c r="H534" t="s">
        <v>63</v>
      </c>
      <c r="I534" t="s">
        <v>64</v>
      </c>
      <c r="J534" t="s">
        <v>65</v>
      </c>
      <c r="K534" t="s">
        <v>481</v>
      </c>
      <c r="L534" t="s">
        <v>470</v>
      </c>
      <c r="M534" t="s">
        <v>471</v>
      </c>
      <c r="O534" t="s">
        <v>52</v>
      </c>
      <c r="P534" t="s">
        <v>472</v>
      </c>
    </row>
    <row r="535" spans="1:16" x14ac:dyDescent="0.3">
      <c r="A535" t="s">
        <v>835</v>
      </c>
      <c r="B535" t="s">
        <v>67</v>
      </c>
      <c r="C535" s="51">
        <v>46304.938194444447</v>
      </c>
      <c r="D535" s="51">
        <v>46303.34097222222</v>
      </c>
      <c r="E535" t="s">
        <v>87</v>
      </c>
      <c r="F535" t="s">
        <v>48</v>
      </c>
      <c r="G535" t="s">
        <v>49</v>
      </c>
      <c r="H535" t="s">
        <v>68</v>
      </c>
      <c r="I535" t="s">
        <v>69</v>
      </c>
      <c r="J535" t="s">
        <v>70</v>
      </c>
      <c r="K535" t="s">
        <v>469</v>
      </c>
      <c r="L535" t="s">
        <v>470</v>
      </c>
      <c r="M535" t="s">
        <v>471</v>
      </c>
      <c r="N535">
        <v>15757466</v>
      </c>
      <c r="O535" t="s">
        <v>52</v>
      </c>
      <c r="P535" t="s">
        <v>472</v>
      </c>
    </row>
    <row r="536" spans="1:16" x14ac:dyDescent="0.3">
      <c r="A536" t="s">
        <v>836</v>
      </c>
      <c r="B536" t="s">
        <v>62</v>
      </c>
      <c r="C536" s="51">
        <v>46304.333333333336</v>
      </c>
      <c r="D536" s="51">
        <v>46303.293749999997</v>
      </c>
      <c r="E536" t="s">
        <v>87</v>
      </c>
      <c r="F536" t="s">
        <v>53</v>
      </c>
      <c r="G536" t="s">
        <v>54</v>
      </c>
      <c r="H536" t="s">
        <v>63</v>
      </c>
      <c r="I536" t="s">
        <v>64</v>
      </c>
      <c r="J536" t="s">
        <v>65</v>
      </c>
      <c r="K536" t="s">
        <v>481</v>
      </c>
      <c r="L536" t="s">
        <v>470</v>
      </c>
      <c r="M536" t="s">
        <v>471</v>
      </c>
      <c r="O536" t="s">
        <v>52</v>
      </c>
      <c r="P536" t="s">
        <v>472</v>
      </c>
    </row>
    <row r="537" spans="1:16" x14ac:dyDescent="0.3">
      <c r="A537" t="s">
        <v>837</v>
      </c>
      <c r="B537" t="s">
        <v>67</v>
      </c>
      <c r="C537" s="51">
        <v>46307.9375</v>
      </c>
      <c r="D537" s="51">
        <v>46303.292361111111</v>
      </c>
      <c r="E537" t="s">
        <v>87</v>
      </c>
      <c r="F537" t="s">
        <v>48</v>
      </c>
      <c r="G537" t="s">
        <v>49</v>
      </c>
      <c r="H537" t="s">
        <v>68</v>
      </c>
      <c r="I537" t="s">
        <v>69</v>
      </c>
      <c r="J537" t="s">
        <v>70</v>
      </c>
      <c r="K537" t="s">
        <v>469</v>
      </c>
      <c r="L537" t="s">
        <v>470</v>
      </c>
      <c r="M537" t="s">
        <v>471</v>
      </c>
      <c r="N537">
        <v>15756804</v>
      </c>
      <c r="O537" t="s">
        <v>52</v>
      </c>
      <c r="P537" t="s">
        <v>472</v>
      </c>
    </row>
    <row r="538" spans="1:16" x14ac:dyDescent="0.3">
      <c r="A538" t="s">
        <v>838</v>
      </c>
      <c r="B538" t="s">
        <v>62</v>
      </c>
      <c r="C538" s="51">
        <v>46304.291666666664</v>
      </c>
      <c r="D538" s="51">
        <v>46302.763888888891</v>
      </c>
      <c r="E538" t="s">
        <v>87</v>
      </c>
      <c r="F538" t="s">
        <v>53</v>
      </c>
      <c r="G538" t="s">
        <v>54</v>
      </c>
      <c r="H538" t="s">
        <v>63</v>
      </c>
      <c r="I538" t="s">
        <v>64</v>
      </c>
      <c r="J538" t="s">
        <v>65</v>
      </c>
      <c r="K538" t="s">
        <v>481</v>
      </c>
      <c r="L538" t="s">
        <v>470</v>
      </c>
      <c r="M538" t="s">
        <v>471</v>
      </c>
      <c r="O538" t="s">
        <v>52</v>
      </c>
      <c r="P538" t="s">
        <v>472</v>
      </c>
    </row>
    <row r="539" spans="1:16" x14ac:dyDescent="0.3">
      <c r="A539" t="s">
        <v>839</v>
      </c>
      <c r="B539" t="s">
        <v>67</v>
      </c>
      <c r="C539" s="51">
        <v>46304.938194444447</v>
      </c>
      <c r="D539" s="51">
        <v>46302.761805555558</v>
      </c>
      <c r="E539" t="s">
        <v>87</v>
      </c>
      <c r="F539" t="s">
        <v>48</v>
      </c>
      <c r="G539" t="s">
        <v>49</v>
      </c>
      <c r="H539" t="s">
        <v>68</v>
      </c>
      <c r="I539" t="s">
        <v>69</v>
      </c>
      <c r="J539" t="s">
        <v>70</v>
      </c>
      <c r="K539" t="s">
        <v>469</v>
      </c>
      <c r="L539" t="s">
        <v>470</v>
      </c>
      <c r="M539" t="s">
        <v>471</v>
      </c>
      <c r="N539">
        <v>15756798</v>
      </c>
      <c r="O539" t="s">
        <v>52</v>
      </c>
      <c r="P539" t="s">
        <v>472</v>
      </c>
    </row>
    <row r="540" spans="1:16" x14ac:dyDescent="0.3">
      <c r="A540" t="s">
        <v>840</v>
      </c>
      <c r="B540" t="s">
        <v>67</v>
      </c>
      <c r="C540" s="51">
        <v>46308.55</v>
      </c>
      <c r="D540" s="51">
        <v>46302.67291666667</v>
      </c>
      <c r="E540" t="s">
        <v>87</v>
      </c>
      <c r="F540" t="s">
        <v>48</v>
      </c>
      <c r="G540" t="s">
        <v>49</v>
      </c>
      <c r="H540" t="s">
        <v>68</v>
      </c>
      <c r="I540" t="s">
        <v>69</v>
      </c>
      <c r="J540" t="s">
        <v>70</v>
      </c>
      <c r="K540" t="s">
        <v>469</v>
      </c>
      <c r="L540" t="s">
        <v>470</v>
      </c>
      <c r="M540" t="s">
        <v>471</v>
      </c>
      <c r="O540" t="s">
        <v>52</v>
      </c>
      <c r="P540" t="s">
        <v>472</v>
      </c>
    </row>
    <row r="541" spans="1:16" x14ac:dyDescent="0.3">
      <c r="A541" t="s">
        <v>841</v>
      </c>
      <c r="B541" t="s">
        <v>67</v>
      </c>
      <c r="C541" s="51">
        <v>46307.938194444447</v>
      </c>
      <c r="D541" s="51">
        <v>46302.67291666667</v>
      </c>
      <c r="E541" t="s">
        <v>87</v>
      </c>
      <c r="F541" t="s">
        <v>48</v>
      </c>
      <c r="G541" t="s">
        <v>49</v>
      </c>
      <c r="H541" t="s">
        <v>68</v>
      </c>
      <c r="I541" t="s">
        <v>69</v>
      </c>
      <c r="J541" t="s">
        <v>70</v>
      </c>
      <c r="K541" t="s">
        <v>469</v>
      </c>
      <c r="L541" t="s">
        <v>470</v>
      </c>
      <c r="M541" t="s">
        <v>471</v>
      </c>
      <c r="N541">
        <v>15752604</v>
      </c>
      <c r="O541" t="s">
        <v>52</v>
      </c>
      <c r="P541" t="s">
        <v>472</v>
      </c>
    </row>
    <row r="542" spans="1:16" x14ac:dyDescent="0.3">
      <c r="A542" t="s">
        <v>842</v>
      </c>
      <c r="B542" t="s">
        <v>131</v>
      </c>
      <c r="C542" s="51">
        <v>46303.78125</v>
      </c>
      <c r="D542" s="51">
        <v>46302.668749999997</v>
      </c>
      <c r="E542" t="s">
        <v>87</v>
      </c>
      <c r="F542" t="s">
        <v>77</v>
      </c>
      <c r="G542" t="s">
        <v>132</v>
      </c>
      <c r="H542" t="s">
        <v>132</v>
      </c>
      <c r="I542" t="s">
        <v>84</v>
      </c>
      <c r="J542" t="s">
        <v>55</v>
      </c>
      <c r="K542" t="s">
        <v>487</v>
      </c>
      <c r="L542" t="s">
        <v>473</v>
      </c>
      <c r="M542" t="s">
        <v>480</v>
      </c>
      <c r="O542" t="s">
        <v>56</v>
      </c>
      <c r="P542" t="s">
        <v>474</v>
      </c>
    </row>
    <row r="543" spans="1:16" x14ac:dyDescent="0.3">
      <c r="A543" t="s">
        <v>843</v>
      </c>
      <c r="B543" t="s">
        <v>71</v>
      </c>
      <c r="C543" s="51">
        <v>46307.9375</v>
      </c>
      <c r="D543" s="51">
        <v>46302.626388888886</v>
      </c>
      <c r="E543" t="s">
        <v>87</v>
      </c>
      <c r="F543" t="s">
        <v>48</v>
      </c>
      <c r="G543" t="s">
        <v>49</v>
      </c>
      <c r="H543" t="s">
        <v>72</v>
      </c>
      <c r="I543" t="s">
        <v>73</v>
      </c>
      <c r="J543" t="s">
        <v>70</v>
      </c>
      <c r="K543" t="s">
        <v>469</v>
      </c>
      <c r="L543" t="s">
        <v>470</v>
      </c>
      <c r="M543" t="s">
        <v>844</v>
      </c>
      <c r="N543">
        <v>15758078</v>
      </c>
      <c r="O543" t="s">
        <v>52</v>
      </c>
      <c r="P543" t="s">
        <v>474</v>
      </c>
    </row>
    <row r="544" spans="1:16" x14ac:dyDescent="0.3">
      <c r="A544" t="s">
        <v>845</v>
      </c>
      <c r="B544" t="s">
        <v>74</v>
      </c>
      <c r="C544" s="51">
        <v>46303.75</v>
      </c>
      <c r="D544" s="51">
        <v>46302.611111111109</v>
      </c>
      <c r="E544" t="s">
        <v>87</v>
      </c>
      <c r="F544" t="s">
        <v>48</v>
      </c>
      <c r="G544" t="s">
        <v>49</v>
      </c>
      <c r="H544" t="s">
        <v>75</v>
      </c>
      <c r="I544" t="s">
        <v>86</v>
      </c>
      <c r="J544" t="s">
        <v>70</v>
      </c>
      <c r="K544" t="s">
        <v>469</v>
      </c>
      <c r="L544" t="s">
        <v>470</v>
      </c>
      <c r="M544" t="s">
        <v>471</v>
      </c>
      <c r="O544" t="s">
        <v>52</v>
      </c>
      <c r="P544" t="s">
        <v>472</v>
      </c>
    </row>
    <row r="545" spans="1:16" x14ac:dyDescent="0.3">
      <c r="A545" t="s">
        <v>846</v>
      </c>
      <c r="B545" t="s">
        <v>47</v>
      </c>
      <c r="C545" s="51">
        <v>46303.75</v>
      </c>
      <c r="D545" s="51">
        <v>46302.611111111109</v>
      </c>
      <c r="E545" t="s">
        <v>87</v>
      </c>
      <c r="F545" t="s">
        <v>48</v>
      </c>
      <c r="G545" t="s">
        <v>49</v>
      </c>
      <c r="H545" t="s">
        <v>50</v>
      </c>
      <c r="I545" t="s">
        <v>66</v>
      </c>
      <c r="J545" t="s">
        <v>51</v>
      </c>
      <c r="K545" t="s">
        <v>469</v>
      </c>
      <c r="L545" t="s">
        <v>470</v>
      </c>
      <c r="M545" t="s">
        <v>471</v>
      </c>
      <c r="O545" t="s">
        <v>52</v>
      </c>
      <c r="P545" t="s">
        <v>472</v>
      </c>
    </row>
    <row r="546" spans="1:16" x14ac:dyDescent="0.3">
      <c r="A546" t="s">
        <v>847</v>
      </c>
      <c r="B546" t="s">
        <v>74</v>
      </c>
      <c r="C546" s="51">
        <v>46303.75</v>
      </c>
      <c r="D546" s="51">
        <v>46302.61041666667</v>
      </c>
      <c r="E546" t="s">
        <v>87</v>
      </c>
      <c r="F546" t="s">
        <v>48</v>
      </c>
      <c r="G546" t="s">
        <v>49</v>
      </c>
      <c r="H546" t="s">
        <v>75</v>
      </c>
      <c r="I546" t="s">
        <v>76</v>
      </c>
      <c r="J546" t="s">
        <v>70</v>
      </c>
      <c r="K546" t="s">
        <v>469</v>
      </c>
      <c r="L546" t="s">
        <v>470</v>
      </c>
      <c r="M546" t="s">
        <v>471</v>
      </c>
      <c r="O546" t="s">
        <v>52</v>
      </c>
      <c r="P546" t="s">
        <v>472</v>
      </c>
    </row>
    <row r="547" spans="1:16" x14ac:dyDescent="0.3">
      <c r="A547" t="s">
        <v>848</v>
      </c>
      <c r="B547" t="s">
        <v>74</v>
      </c>
      <c r="C547" s="51">
        <v>46304.9375</v>
      </c>
      <c r="D547" s="51">
        <v>46302.607638888891</v>
      </c>
      <c r="E547" t="s">
        <v>87</v>
      </c>
      <c r="F547" t="s">
        <v>48</v>
      </c>
      <c r="G547" t="s">
        <v>49</v>
      </c>
      <c r="H547" t="s">
        <v>75</v>
      </c>
      <c r="I547" t="s">
        <v>86</v>
      </c>
      <c r="J547" t="s">
        <v>70</v>
      </c>
      <c r="K547" t="s">
        <v>469</v>
      </c>
      <c r="L547" t="s">
        <v>470</v>
      </c>
      <c r="M547" t="s">
        <v>471</v>
      </c>
      <c r="N547">
        <v>15752614</v>
      </c>
      <c r="O547" t="s">
        <v>52</v>
      </c>
      <c r="P547" t="s">
        <v>472</v>
      </c>
    </row>
    <row r="548" spans="1:16" x14ac:dyDescent="0.3">
      <c r="A548" t="s">
        <v>850</v>
      </c>
      <c r="B548" t="s">
        <v>74</v>
      </c>
      <c r="C548" s="51">
        <v>46303.75</v>
      </c>
      <c r="D548" s="51">
        <v>46302.607638888891</v>
      </c>
      <c r="E548" t="s">
        <v>87</v>
      </c>
      <c r="F548" t="s">
        <v>48</v>
      </c>
      <c r="G548" t="s">
        <v>49</v>
      </c>
      <c r="H548" t="s">
        <v>75</v>
      </c>
      <c r="I548" t="s">
        <v>86</v>
      </c>
      <c r="J548" t="s">
        <v>70</v>
      </c>
      <c r="K548" t="s">
        <v>469</v>
      </c>
      <c r="L548" t="s">
        <v>470</v>
      </c>
      <c r="M548" t="s">
        <v>471</v>
      </c>
      <c r="O548" t="s">
        <v>52</v>
      </c>
      <c r="P548" t="s">
        <v>472</v>
      </c>
    </row>
    <row r="549" spans="1:16" x14ac:dyDescent="0.3">
      <c r="A549" t="s">
        <v>849</v>
      </c>
      <c r="B549" t="s">
        <v>74</v>
      </c>
      <c r="C549" s="51">
        <v>46308.938194444447</v>
      </c>
      <c r="D549" s="51">
        <v>46302.607638888891</v>
      </c>
      <c r="E549" t="s">
        <v>87</v>
      </c>
      <c r="F549" t="s">
        <v>48</v>
      </c>
      <c r="G549" t="s">
        <v>49</v>
      </c>
      <c r="H549" t="s">
        <v>75</v>
      </c>
      <c r="I549" t="s">
        <v>86</v>
      </c>
      <c r="J549" t="s">
        <v>70</v>
      </c>
      <c r="K549" t="s">
        <v>469</v>
      </c>
      <c r="L549" t="s">
        <v>470</v>
      </c>
      <c r="M549" t="s">
        <v>471</v>
      </c>
      <c r="N549">
        <v>15752610</v>
      </c>
      <c r="O549" t="s">
        <v>52</v>
      </c>
      <c r="P549" t="s">
        <v>472</v>
      </c>
    </row>
    <row r="550" spans="1:16" x14ac:dyDescent="0.3">
      <c r="A550" t="s">
        <v>851</v>
      </c>
      <c r="B550" t="s">
        <v>74</v>
      </c>
      <c r="C550" s="51">
        <v>46303.75</v>
      </c>
      <c r="D550" s="51">
        <v>46302.607638888891</v>
      </c>
      <c r="E550" t="s">
        <v>87</v>
      </c>
      <c r="F550" t="s">
        <v>48</v>
      </c>
      <c r="G550" t="s">
        <v>49</v>
      </c>
      <c r="H550" t="s">
        <v>75</v>
      </c>
      <c r="I550" t="s">
        <v>86</v>
      </c>
      <c r="J550" t="s">
        <v>70</v>
      </c>
      <c r="K550" t="s">
        <v>469</v>
      </c>
      <c r="L550" t="s">
        <v>470</v>
      </c>
      <c r="M550" t="s">
        <v>471</v>
      </c>
      <c r="O550" t="s">
        <v>52</v>
      </c>
      <c r="P550" t="s">
        <v>472</v>
      </c>
    </row>
    <row r="551" spans="1:16" x14ac:dyDescent="0.3">
      <c r="A551" t="s">
        <v>852</v>
      </c>
      <c r="B551" t="s">
        <v>74</v>
      </c>
      <c r="C551" s="51">
        <v>46304.9375</v>
      </c>
      <c r="D551" s="51">
        <v>46302.607638888891</v>
      </c>
      <c r="E551" t="s">
        <v>87</v>
      </c>
      <c r="F551" t="s">
        <v>48</v>
      </c>
      <c r="G551" t="s">
        <v>49</v>
      </c>
      <c r="H551" t="s">
        <v>75</v>
      </c>
      <c r="I551" t="s">
        <v>86</v>
      </c>
      <c r="J551" t="s">
        <v>70</v>
      </c>
      <c r="K551" t="s">
        <v>469</v>
      </c>
      <c r="L551" t="s">
        <v>470</v>
      </c>
      <c r="M551" t="s">
        <v>471</v>
      </c>
      <c r="N551">
        <v>15752608</v>
      </c>
      <c r="O551" t="s">
        <v>52</v>
      </c>
      <c r="P551" t="s">
        <v>472</v>
      </c>
    </row>
    <row r="552" spans="1:16" x14ac:dyDescent="0.3">
      <c r="A552" t="s">
        <v>853</v>
      </c>
      <c r="B552" t="s">
        <v>67</v>
      </c>
      <c r="C552" s="51">
        <v>46303.75</v>
      </c>
      <c r="D552" s="51">
        <v>46302.604166666664</v>
      </c>
      <c r="E552" t="s">
        <v>87</v>
      </c>
      <c r="F552" t="s">
        <v>48</v>
      </c>
      <c r="G552" t="s">
        <v>49</v>
      </c>
      <c r="H552" t="s">
        <v>68</v>
      </c>
      <c r="I552" t="s">
        <v>69</v>
      </c>
      <c r="J552" t="s">
        <v>70</v>
      </c>
      <c r="K552" t="s">
        <v>469</v>
      </c>
      <c r="L552" t="s">
        <v>470</v>
      </c>
      <c r="M552" t="s">
        <v>471</v>
      </c>
      <c r="O552" t="s">
        <v>52</v>
      </c>
      <c r="P552" t="s">
        <v>472</v>
      </c>
    </row>
    <row r="553" spans="1:16" x14ac:dyDescent="0.3">
      <c r="A553" t="s">
        <v>854</v>
      </c>
      <c r="B553" t="s">
        <v>74</v>
      </c>
      <c r="C553" s="51">
        <v>46303.75</v>
      </c>
      <c r="D553" s="51">
        <v>46302.587500000001</v>
      </c>
      <c r="E553" t="s">
        <v>87</v>
      </c>
      <c r="F553" t="s">
        <v>48</v>
      </c>
      <c r="G553" t="s">
        <v>49</v>
      </c>
      <c r="H553" t="s">
        <v>75</v>
      </c>
      <c r="I553" t="s">
        <v>86</v>
      </c>
      <c r="J553" t="s">
        <v>70</v>
      </c>
      <c r="K553" t="s">
        <v>469</v>
      </c>
      <c r="L553" t="s">
        <v>470</v>
      </c>
      <c r="M553" t="s">
        <v>471</v>
      </c>
      <c r="O553" t="s">
        <v>52</v>
      </c>
      <c r="P553" t="s">
        <v>472</v>
      </c>
    </row>
    <row r="554" spans="1:16" x14ac:dyDescent="0.3">
      <c r="A554" t="s">
        <v>855</v>
      </c>
      <c r="B554" t="s">
        <v>74</v>
      </c>
      <c r="C554" s="51">
        <v>46307.938194444447</v>
      </c>
      <c r="D554" s="51">
        <v>46302.587500000001</v>
      </c>
      <c r="E554" t="s">
        <v>87</v>
      </c>
      <c r="F554" t="s">
        <v>48</v>
      </c>
      <c r="G554" t="s">
        <v>49</v>
      </c>
      <c r="H554" t="s">
        <v>75</v>
      </c>
      <c r="I554" t="s">
        <v>148</v>
      </c>
      <c r="J554" t="s">
        <v>70</v>
      </c>
      <c r="K554" t="s">
        <v>469</v>
      </c>
      <c r="L554" t="s">
        <v>470</v>
      </c>
      <c r="M554" t="s">
        <v>471</v>
      </c>
      <c r="N554">
        <v>15752606</v>
      </c>
      <c r="O554" t="s">
        <v>52</v>
      </c>
      <c r="P554" t="s">
        <v>472</v>
      </c>
    </row>
    <row r="555" spans="1:16" x14ac:dyDescent="0.3">
      <c r="A555" t="s">
        <v>856</v>
      </c>
      <c r="B555" t="s">
        <v>74</v>
      </c>
      <c r="C555" s="51">
        <v>46303.75</v>
      </c>
      <c r="D555" s="51">
        <v>46302.587500000001</v>
      </c>
      <c r="E555" t="s">
        <v>87</v>
      </c>
      <c r="F555" t="s">
        <v>48</v>
      </c>
      <c r="G555" t="s">
        <v>49</v>
      </c>
      <c r="H555" t="s">
        <v>75</v>
      </c>
      <c r="I555" t="s">
        <v>148</v>
      </c>
      <c r="J555" t="s">
        <v>70</v>
      </c>
      <c r="K555" t="s">
        <v>469</v>
      </c>
      <c r="L555" t="s">
        <v>470</v>
      </c>
      <c r="M555" t="s">
        <v>471</v>
      </c>
      <c r="O555" t="s">
        <v>52</v>
      </c>
      <c r="P555" t="s">
        <v>472</v>
      </c>
    </row>
    <row r="556" spans="1:16" x14ac:dyDescent="0.3">
      <c r="A556" t="s">
        <v>857</v>
      </c>
      <c r="B556" t="s">
        <v>74</v>
      </c>
      <c r="C556" s="51">
        <v>46307.9375</v>
      </c>
      <c r="D556" s="51">
        <v>46302.586805555555</v>
      </c>
      <c r="E556" t="s">
        <v>87</v>
      </c>
      <c r="F556" t="s">
        <v>48</v>
      </c>
      <c r="G556" t="s">
        <v>49</v>
      </c>
      <c r="H556" t="s">
        <v>75</v>
      </c>
      <c r="I556" t="s">
        <v>86</v>
      </c>
      <c r="J556" t="s">
        <v>70</v>
      </c>
      <c r="K556" t="s">
        <v>469</v>
      </c>
      <c r="L556" t="s">
        <v>470</v>
      </c>
      <c r="M556" t="s">
        <v>471</v>
      </c>
      <c r="N556">
        <v>15752600</v>
      </c>
      <c r="O556" t="s">
        <v>52</v>
      </c>
      <c r="P556" t="s">
        <v>472</v>
      </c>
    </row>
    <row r="557" spans="1:16" x14ac:dyDescent="0.3">
      <c r="A557" t="s">
        <v>858</v>
      </c>
      <c r="B557" t="s">
        <v>120</v>
      </c>
      <c r="C557" s="51">
        <v>46303.75</v>
      </c>
      <c r="D557" s="51">
        <v>46302.568749999999</v>
      </c>
      <c r="E557" t="s">
        <v>87</v>
      </c>
      <c r="F557" t="s">
        <v>48</v>
      </c>
      <c r="G557" t="s">
        <v>49</v>
      </c>
      <c r="H557" t="s">
        <v>121</v>
      </c>
      <c r="I557" t="s">
        <v>82</v>
      </c>
      <c r="J557" t="s">
        <v>51</v>
      </c>
      <c r="K557" t="s">
        <v>469</v>
      </c>
      <c r="L557" t="s">
        <v>470</v>
      </c>
      <c r="M557" t="s">
        <v>471</v>
      </c>
      <c r="O557" t="s">
        <v>52</v>
      </c>
      <c r="P557" t="s">
        <v>472</v>
      </c>
    </row>
    <row r="558" spans="1:16" x14ac:dyDescent="0.3">
      <c r="A558" t="s">
        <v>859</v>
      </c>
      <c r="B558" t="s">
        <v>120</v>
      </c>
      <c r="C558" s="51">
        <v>46307.9375</v>
      </c>
      <c r="D558" s="51">
        <v>46302.568749999999</v>
      </c>
      <c r="E558" t="s">
        <v>87</v>
      </c>
      <c r="F558" t="s">
        <v>48</v>
      </c>
      <c r="G558" t="s">
        <v>49</v>
      </c>
      <c r="H558" t="s">
        <v>121</v>
      </c>
      <c r="I558" t="s">
        <v>82</v>
      </c>
      <c r="J558" t="s">
        <v>51</v>
      </c>
      <c r="K558" t="s">
        <v>469</v>
      </c>
      <c r="L558" t="s">
        <v>470</v>
      </c>
      <c r="M558" t="s">
        <v>471</v>
      </c>
      <c r="N558">
        <v>15752618</v>
      </c>
      <c r="O558" t="s">
        <v>52</v>
      </c>
      <c r="P558" t="s">
        <v>472</v>
      </c>
    </row>
    <row r="559" spans="1:16" x14ac:dyDescent="0.3">
      <c r="A559" t="s">
        <v>860</v>
      </c>
      <c r="B559" t="s">
        <v>62</v>
      </c>
      <c r="C559" s="51">
        <v>46303.583333333336</v>
      </c>
      <c r="D559" s="51">
        <v>46302.556944444441</v>
      </c>
      <c r="E559" t="s">
        <v>87</v>
      </c>
      <c r="F559" t="s">
        <v>53</v>
      </c>
      <c r="G559" t="s">
        <v>54</v>
      </c>
      <c r="H559" t="s">
        <v>63</v>
      </c>
      <c r="I559" t="s">
        <v>64</v>
      </c>
      <c r="J559" t="s">
        <v>65</v>
      </c>
      <c r="K559" t="s">
        <v>481</v>
      </c>
      <c r="L559" t="s">
        <v>470</v>
      </c>
      <c r="M559" t="s">
        <v>471</v>
      </c>
      <c r="O559" t="s">
        <v>52</v>
      </c>
      <c r="P559" t="s">
        <v>472</v>
      </c>
    </row>
    <row r="560" spans="1:16" x14ac:dyDescent="0.3">
      <c r="A560" t="s">
        <v>861</v>
      </c>
      <c r="B560" t="s">
        <v>62</v>
      </c>
      <c r="C560" s="51">
        <v>46303.625</v>
      </c>
      <c r="D560" s="51">
        <v>46302.54583333333</v>
      </c>
      <c r="E560" t="s">
        <v>87</v>
      </c>
      <c r="F560" t="s">
        <v>53</v>
      </c>
      <c r="G560" t="s">
        <v>54</v>
      </c>
      <c r="H560" t="s">
        <v>63</v>
      </c>
      <c r="I560" t="s">
        <v>64</v>
      </c>
      <c r="J560" t="s">
        <v>65</v>
      </c>
      <c r="K560" t="s">
        <v>481</v>
      </c>
      <c r="L560" t="s">
        <v>470</v>
      </c>
      <c r="M560" t="s">
        <v>471</v>
      </c>
      <c r="O560" t="s">
        <v>52</v>
      </c>
      <c r="P560" t="s">
        <v>472</v>
      </c>
    </row>
    <row r="561" spans="1:16" x14ac:dyDescent="0.3">
      <c r="A561" t="s">
        <v>862</v>
      </c>
      <c r="B561" t="s">
        <v>67</v>
      </c>
      <c r="C561" s="51">
        <v>46307.938194444447</v>
      </c>
      <c r="D561" s="51">
        <v>46302.543055555558</v>
      </c>
      <c r="E561" t="s">
        <v>87</v>
      </c>
      <c r="F561" t="s">
        <v>48</v>
      </c>
      <c r="G561" t="s">
        <v>49</v>
      </c>
      <c r="H561" t="s">
        <v>68</v>
      </c>
      <c r="I561" t="s">
        <v>69</v>
      </c>
      <c r="J561" t="s">
        <v>70</v>
      </c>
      <c r="K561" t="s">
        <v>469</v>
      </c>
      <c r="L561" t="s">
        <v>470</v>
      </c>
      <c r="M561" t="s">
        <v>471</v>
      </c>
      <c r="N561">
        <v>15750618</v>
      </c>
      <c r="O561" t="s">
        <v>52</v>
      </c>
      <c r="P561" t="s">
        <v>472</v>
      </c>
    </row>
    <row r="562" spans="1:16" x14ac:dyDescent="0.3">
      <c r="A562" t="s">
        <v>863</v>
      </c>
      <c r="B562" t="s">
        <v>108</v>
      </c>
      <c r="C562" s="51">
        <v>46303.5</v>
      </c>
      <c r="D562" s="51">
        <v>46302.499305555553</v>
      </c>
      <c r="E562" t="s">
        <v>87</v>
      </c>
      <c r="F562" t="s">
        <v>77</v>
      </c>
      <c r="G562" t="s">
        <v>107</v>
      </c>
      <c r="H562" t="s">
        <v>109</v>
      </c>
      <c r="I562" t="s">
        <v>122</v>
      </c>
      <c r="J562" t="s">
        <v>123</v>
      </c>
      <c r="K562" t="s">
        <v>475</v>
      </c>
      <c r="L562" t="s">
        <v>473</v>
      </c>
      <c r="M562" t="s">
        <v>476</v>
      </c>
      <c r="O562" t="s">
        <v>503</v>
      </c>
      <c r="P562" t="s">
        <v>474</v>
      </c>
    </row>
    <row r="563" spans="1:16" x14ac:dyDescent="0.3">
      <c r="A563" t="s">
        <v>864</v>
      </c>
      <c r="B563" t="s">
        <v>47</v>
      </c>
      <c r="C563" s="51">
        <v>46307.938194444447</v>
      </c>
      <c r="D563" s="51">
        <v>46302.491666666669</v>
      </c>
      <c r="E563" t="s">
        <v>87</v>
      </c>
      <c r="F563" t="s">
        <v>48</v>
      </c>
      <c r="G563" t="s">
        <v>49</v>
      </c>
      <c r="H563" t="s">
        <v>50</v>
      </c>
      <c r="I563" t="s">
        <v>130</v>
      </c>
      <c r="J563" t="s">
        <v>51</v>
      </c>
      <c r="K563" t="s">
        <v>469</v>
      </c>
      <c r="L563" t="s">
        <v>470</v>
      </c>
      <c r="M563" t="s">
        <v>485</v>
      </c>
      <c r="N563">
        <v>15750500</v>
      </c>
      <c r="O563" t="s">
        <v>52</v>
      </c>
      <c r="P563" t="s">
        <v>472</v>
      </c>
    </row>
    <row r="564" spans="1:16" x14ac:dyDescent="0.3">
      <c r="A564" t="s">
        <v>865</v>
      </c>
      <c r="B564" t="s">
        <v>62</v>
      </c>
      <c r="C564" s="51">
        <v>46303.583333333336</v>
      </c>
      <c r="D564" s="51">
        <v>46302.478472222225</v>
      </c>
      <c r="E564" t="s">
        <v>87</v>
      </c>
      <c r="F564" t="s">
        <v>53</v>
      </c>
      <c r="G564" t="s">
        <v>54</v>
      </c>
      <c r="H564" t="s">
        <v>63</v>
      </c>
      <c r="I564" t="s">
        <v>64</v>
      </c>
      <c r="J564" t="s">
        <v>65</v>
      </c>
      <c r="K564" t="s">
        <v>481</v>
      </c>
      <c r="L564" t="s">
        <v>470</v>
      </c>
      <c r="M564" t="s">
        <v>471</v>
      </c>
      <c r="O564" t="s">
        <v>52</v>
      </c>
      <c r="P564" t="s">
        <v>472</v>
      </c>
    </row>
    <row r="565" spans="1:16" x14ac:dyDescent="0.3">
      <c r="A565" t="s">
        <v>866</v>
      </c>
      <c r="B565" t="s">
        <v>74</v>
      </c>
      <c r="C565" s="51">
        <v>46308.938194444447</v>
      </c>
      <c r="D565" s="51">
        <v>46302.478472222225</v>
      </c>
      <c r="E565" t="s">
        <v>87</v>
      </c>
      <c r="F565" t="s">
        <v>48</v>
      </c>
      <c r="G565" t="s">
        <v>49</v>
      </c>
      <c r="H565" t="s">
        <v>75</v>
      </c>
      <c r="I565" t="s">
        <v>76</v>
      </c>
      <c r="J565" t="s">
        <v>70</v>
      </c>
      <c r="K565" t="s">
        <v>469</v>
      </c>
      <c r="L565" t="s">
        <v>470</v>
      </c>
      <c r="M565" t="s">
        <v>471</v>
      </c>
      <c r="N565">
        <v>15750488</v>
      </c>
      <c r="O565" t="s">
        <v>52</v>
      </c>
      <c r="P565" t="s">
        <v>472</v>
      </c>
    </row>
    <row r="566" spans="1:16" x14ac:dyDescent="0.3">
      <c r="A566" t="s">
        <v>867</v>
      </c>
      <c r="B566" t="s">
        <v>108</v>
      </c>
      <c r="C566" s="51">
        <v>46303.416666666664</v>
      </c>
      <c r="D566" s="51">
        <v>46302.412499999999</v>
      </c>
      <c r="E566" t="s">
        <v>87</v>
      </c>
      <c r="F566" t="s">
        <v>77</v>
      </c>
      <c r="G566" t="s">
        <v>107</v>
      </c>
      <c r="H566" t="s">
        <v>109</v>
      </c>
      <c r="I566" t="s">
        <v>122</v>
      </c>
      <c r="J566" t="s">
        <v>123</v>
      </c>
      <c r="K566" t="s">
        <v>475</v>
      </c>
      <c r="L566" t="s">
        <v>473</v>
      </c>
      <c r="M566" t="s">
        <v>480</v>
      </c>
      <c r="O566" t="s">
        <v>56</v>
      </c>
      <c r="P566" t="s">
        <v>474</v>
      </c>
    </row>
    <row r="567" spans="1:16" x14ac:dyDescent="0.3">
      <c r="A567" t="s">
        <v>868</v>
      </c>
      <c r="B567" t="s">
        <v>108</v>
      </c>
      <c r="C567" s="51">
        <v>46303.416666666664</v>
      </c>
      <c r="D567" s="51">
        <v>46302.39166666667</v>
      </c>
      <c r="E567" t="s">
        <v>87</v>
      </c>
      <c r="F567" t="s">
        <v>77</v>
      </c>
      <c r="G567" t="s">
        <v>107</v>
      </c>
      <c r="H567" t="s">
        <v>109</v>
      </c>
      <c r="I567" t="s">
        <v>122</v>
      </c>
      <c r="J567" t="s">
        <v>123</v>
      </c>
      <c r="K567" t="s">
        <v>475</v>
      </c>
      <c r="L567" t="s">
        <v>473</v>
      </c>
      <c r="M567" t="s">
        <v>492</v>
      </c>
      <c r="O567" t="s">
        <v>56</v>
      </c>
      <c r="P567" t="s">
        <v>474</v>
      </c>
    </row>
    <row r="568" spans="1:16" x14ac:dyDescent="0.3">
      <c r="A568" t="s">
        <v>869</v>
      </c>
      <c r="B568" t="s">
        <v>124</v>
      </c>
      <c r="C568" s="51">
        <v>46303.416666666664</v>
      </c>
      <c r="D568" s="51">
        <v>46302.38958333333</v>
      </c>
      <c r="E568" t="s">
        <v>87</v>
      </c>
      <c r="F568" t="s">
        <v>77</v>
      </c>
      <c r="G568" t="s">
        <v>107</v>
      </c>
      <c r="H568" t="s">
        <v>125</v>
      </c>
      <c r="I568" t="s">
        <v>122</v>
      </c>
      <c r="J568" t="s">
        <v>126</v>
      </c>
      <c r="K568" t="s">
        <v>475</v>
      </c>
      <c r="L568" t="s">
        <v>473</v>
      </c>
      <c r="M568" t="s">
        <v>496</v>
      </c>
      <c r="O568" t="s">
        <v>56</v>
      </c>
      <c r="P568" t="s">
        <v>474</v>
      </c>
    </row>
    <row r="569" spans="1:16" x14ac:dyDescent="0.3">
      <c r="A569" t="s">
        <v>870</v>
      </c>
      <c r="B569" t="s">
        <v>124</v>
      </c>
      <c r="C569" s="51">
        <v>46303.416666666664</v>
      </c>
      <c r="D569" s="51">
        <v>46302.372916666667</v>
      </c>
      <c r="E569" t="s">
        <v>87</v>
      </c>
      <c r="F569" t="s">
        <v>77</v>
      </c>
      <c r="G569" t="s">
        <v>107</v>
      </c>
      <c r="H569" t="s">
        <v>125</v>
      </c>
      <c r="I569" t="s">
        <v>122</v>
      </c>
      <c r="J569" t="s">
        <v>126</v>
      </c>
      <c r="K569" t="s">
        <v>475</v>
      </c>
      <c r="L569" t="s">
        <v>473</v>
      </c>
      <c r="M569" t="s">
        <v>524</v>
      </c>
      <c r="O569" t="s">
        <v>56</v>
      </c>
      <c r="P569" t="s">
        <v>474</v>
      </c>
    </row>
    <row r="570" spans="1:16" x14ac:dyDescent="0.3">
      <c r="A570" t="s">
        <v>871</v>
      </c>
      <c r="B570" t="s">
        <v>108</v>
      </c>
      <c r="C570" s="51">
        <v>46303.375</v>
      </c>
      <c r="D570" s="51">
        <v>46302.366666666669</v>
      </c>
      <c r="E570" t="s">
        <v>87</v>
      </c>
      <c r="F570" t="s">
        <v>77</v>
      </c>
      <c r="G570" t="s">
        <v>107</v>
      </c>
      <c r="H570" t="s">
        <v>109</v>
      </c>
      <c r="I570" t="s">
        <v>122</v>
      </c>
      <c r="J570" t="s">
        <v>123</v>
      </c>
      <c r="K570" t="s">
        <v>475</v>
      </c>
      <c r="L570" t="s">
        <v>473</v>
      </c>
      <c r="O570" t="s">
        <v>56</v>
      </c>
      <c r="P570" t="s">
        <v>474</v>
      </c>
    </row>
    <row r="571" spans="1:16" x14ac:dyDescent="0.3">
      <c r="A571" t="s">
        <v>872</v>
      </c>
      <c r="B571" t="s">
        <v>124</v>
      </c>
      <c r="C571" s="51">
        <v>46303.375</v>
      </c>
      <c r="D571" s="51">
        <v>46302.361805555556</v>
      </c>
      <c r="E571" t="s">
        <v>87</v>
      </c>
      <c r="F571" t="s">
        <v>77</v>
      </c>
      <c r="G571" t="s">
        <v>107</v>
      </c>
      <c r="H571" t="s">
        <v>125</v>
      </c>
      <c r="I571" t="s">
        <v>122</v>
      </c>
      <c r="J571" t="s">
        <v>126</v>
      </c>
      <c r="K571" t="s">
        <v>475</v>
      </c>
      <c r="L571" t="s">
        <v>473</v>
      </c>
      <c r="M571" t="s">
        <v>524</v>
      </c>
      <c r="O571" t="s">
        <v>503</v>
      </c>
      <c r="P571" t="s">
        <v>474</v>
      </c>
    </row>
    <row r="572" spans="1:16" x14ac:dyDescent="0.3">
      <c r="A572" t="s">
        <v>873</v>
      </c>
      <c r="B572" t="s">
        <v>108</v>
      </c>
      <c r="C572" s="51">
        <v>46303.375</v>
      </c>
      <c r="D572" s="51">
        <v>46302.361111111109</v>
      </c>
      <c r="E572" t="s">
        <v>87</v>
      </c>
      <c r="F572" t="s">
        <v>77</v>
      </c>
      <c r="G572" t="s">
        <v>107</v>
      </c>
      <c r="H572" t="s">
        <v>109</v>
      </c>
      <c r="I572" t="s">
        <v>122</v>
      </c>
      <c r="J572" t="s">
        <v>123</v>
      </c>
      <c r="K572" t="s">
        <v>475</v>
      </c>
      <c r="L572" t="s">
        <v>473</v>
      </c>
      <c r="M572" t="s">
        <v>478</v>
      </c>
      <c r="O572" t="s">
        <v>56</v>
      </c>
      <c r="P572" t="s">
        <v>474</v>
      </c>
    </row>
    <row r="573" spans="1:16" x14ac:dyDescent="0.3">
      <c r="A573" t="s">
        <v>874</v>
      </c>
      <c r="B573" t="s">
        <v>47</v>
      </c>
      <c r="C573" s="51">
        <v>46304.770833333336</v>
      </c>
      <c r="D573" s="51">
        <v>46302.32916666667</v>
      </c>
      <c r="E573" t="s">
        <v>87</v>
      </c>
      <c r="F573" t="s">
        <v>48</v>
      </c>
      <c r="G573" t="s">
        <v>49</v>
      </c>
      <c r="H573" t="s">
        <v>50</v>
      </c>
      <c r="I573" t="s">
        <v>66</v>
      </c>
      <c r="J573" t="s">
        <v>51</v>
      </c>
      <c r="K573" t="s">
        <v>469</v>
      </c>
      <c r="L573" t="s">
        <v>470</v>
      </c>
      <c r="M573" t="s">
        <v>471</v>
      </c>
      <c r="N573">
        <v>15748482</v>
      </c>
      <c r="O573" t="s">
        <v>52</v>
      </c>
      <c r="P573" t="s">
        <v>472</v>
      </c>
    </row>
    <row r="574" spans="1:16" x14ac:dyDescent="0.3">
      <c r="A574" t="s">
        <v>875</v>
      </c>
      <c r="B574" t="s">
        <v>47</v>
      </c>
      <c r="C574" s="51">
        <v>46303.458333333336</v>
      </c>
      <c r="D574" s="51">
        <v>46302.32916666667</v>
      </c>
      <c r="E574" t="s">
        <v>87</v>
      </c>
      <c r="F574" t="s">
        <v>48</v>
      </c>
      <c r="G574" t="s">
        <v>49</v>
      </c>
      <c r="H574" t="s">
        <v>50</v>
      </c>
      <c r="I574" t="s">
        <v>66</v>
      </c>
      <c r="J574" t="s">
        <v>51</v>
      </c>
      <c r="K574" t="s">
        <v>469</v>
      </c>
      <c r="L574" t="s">
        <v>470</v>
      </c>
      <c r="M574" t="s">
        <v>471</v>
      </c>
      <c r="O574" t="s">
        <v>52</v>
      </c>
      <c r="P574" t="s">
        <v>472</v>
      </c>
    </row>
    <row r="575" spans="1:16" x14ac:dyDescent="0.3">
      <c r="A575" t="s">
        <v>876</v>
      </c>
      <c r="B575" t="s">
        <v>124</v>
      </c>
      <c r="C575" s="51">
        <v>46303.333333333336</v>
      </c>
      <c r="D575" s="51">
        <v>46302.308333333334</v>
      </c>
      <c r="E575" t="s">
        <v>87</v>
      </c>
      <c r="F575" t="s">
        <v>77</v>
      </c>
      <c r="G575" t="s">
        <v>107</v>
      </c>
      <c r="H575" t="s">
        <v>125</v>
      </c>
      <c r="I575" t="s">
        <v>122</v>
      </c>
      <c r="J575" t="s">
        <v>126</v>
      </c>
      <c r="K575" t="s">
        <v>475</v>
      </c>
      <c r="L575" t="s">
        <v>473</v>
      </c>
      <c r="M575" t="s">
        <v>476</v>
      </c>
      <c r="O575" t="s">
        <v>503</v>
      </c>
      <c r="P575" t="s">
        <v>474</v>
      </c>
    </row>
    <row r="576" spans="1:16" x14ac:dyDescent="0.3">
      <c r="A576" t="s">
        <v>877</v>
      </c>
      <c r="B576" t="s">
        <v>74</v>
      </c>
      <c r="C576" s="51">
        <v>46307.9375</v>
      </c>
      <c r="D576" s="51">
        <v>46302.29583333333</v>
      </c>
      <c r="E576" t="s">
        <v>87</v>
      </c>
      <c r="F576" t="s">
        <v>48</v>
      </c>
      <c r="G576" t="s">
        <v>49</v>
      </c>
      <c r="H576" t="s">
        <v>75</v>
      </c>
      <c r="I576" t="s">
        <v>86</v>
      </c>
      <c r="J576" t="s">
        <v>70</v>
      </c>
      <c r="K576" t="s">
        <v>469</v>
      </c>
      <c r="L576" t="s">
        <v>470</v>
      </c>
      <c r="M576" t="s">
        <v>471</v>
      </c>
      <c r="N576">
        <v>15748592</v>
      </c>
      <c r="O576" t="s">
        <v>52</v>
      </c>
      <c r="P576" t="s">
        <v>472</v>
      </c>
    </row>
    <row r="577" spans="1:16" x14ac:dyDescent="0.3">
      <c r="A577" t="s">
        <v>878</v>
      </c>
      <c r="B577" t="s">
        <v>113</v>
      </c>
      <c r="C577" s="51">
        <v>46304.9375</v>
      </c>
      <c r="D577" s="51">
        <v>46302.29583333333</v>
      </c>
      <c r="E577" t="s">
        <v>87</v>
      </c>
      <c r="F577" t="s">
        <v>48</v>
      </c>
      <c r="G577" t="s">
        <v>49</v>
      </c>
      <c r="H577" t="s">
        <v>114</v>
      </c>
      <c r="I577" t="s">
        <v>115</v>
      </c>
      <c r="J577" t="s">
        <v>116</v>
      </c>
      <c r="K577" t="s">
        <v>469</v>
      </c>
      <c r="L577" t="s">
        <v>470</v>
      </c>
      <c r="M577" t="s">
        <v>471</v>
      </c>
      <c r="N577">
        <v>15748596</v>
      </c>
      <c r="O577" t="s">
        <v>52</v>
      </c>
      <c r="P577" t="s">
        <v>472</v>
      </c>
    </row>
    <row r="578" spans="1:16" x14ac:dyDescent="0.3">
      <c r="A578" t="s">
        <v>879</v>
      </c>
      <c r="B578" t="s">
        <v>74</v>
      </c>
      <c r="C578" s="51">
        <v>46303.458333333336</v>
      </c>
      <c r="D578" s="51">
        <v>46302.29583333333</v>
      </c>
      <c r="E578" t="s">
        <v>87</v>
      </c>
      <c r="F578" t="s">
        <v>48</v>
      </c>
      <c r="G578" t="s">
        <v>49</v>
      </c>
      <c r="H578" t="s">
        <v>75</v>
      </c>
      <c r="I578" t="s">
        <v>86</v>
      </c>
      <c r="J578" t="s">
        <v>70</v>
      </c>
      <c r="K578" t="s">
        <v>469</v>
      </c>
      <c r="L578" t="s">
        <v>470</v>
      </c>
      <c r="M578" t="s">
        <v>471</v>
      </c>
      <c r="O578" t="s">
        <v>52</v>
      </c>
      <c r="P578" t="s">
        <v>472</v>
      </c>
    </row>
    <row r="579" spans="1:16" x14ac:dyDescent="0.3">
      <c r="A579" t="s">
        <v>880</v>
      </c>
      <c r="B579" t="s">
        <v>113</v>
      </c>
      <c r="C579" s="51">
        <v>46303.458333333336</v>
      </c>
      <c r="D579" s="51">
        <v>46302.29583333333</v>
      </c>
      <c r="E579" t="s">
        <v>87</v>
      </c>
      <c r="F579" t="s">
        <v>48</v>
      </c>
      <c r="G579" t="s">
        <v>49</v>
      </c>
      <c r="H579" t="s">
        <v>114</v>
      </c>
      <c r="I579" t="s">
        <v>115</v>
      </c>
      <c r="J579" t="s">
        <v>116</v>
      </c>
      <c r="K579" t="s">
        <v>469</v>
      </c>
      <c r="L579" t="s">
        <v>470</v>
      </c>
      <c r="M579" t="s">
        <v>471</v>
      </c>
      <c r="O579" t="s">
        <v>52</v>
      </c>
      <c r="P579" t="s">
        <v>472</v>
      </c>
    </row>
    <row r="580" spans="1:16" x14ac:dyDescent="0.3">
      <c r="A580" t="s">
        <v>881</v>
      </c>
      <c r="B580" t="s">
        <v>74</v>
      </c>
      <c r="C580" s="51">
        <v>46307.9375</v>
      </c>
      <c r="D580" s="51">
        <v>46302.29583333333</v>
      </c>
      <c r="E580" t="s">
        <v>87</v>
      </c>
      <c r="F580" t="s">
        <v>48</v>
      </c>
      <c r="G580" t="s">
        <v>49</v>
      </c>
      <c r="H580" t="s">
        <v>75</v>
      </c>
      <c r="I580" t="s">
        <v>76</v>
      </c>
      <c r="J580" t="s">
        <v>70</v>
      </c>
      <c r="K580" t="s">
        <v>469</v>
      </c>
      <c r="L580" t="s">
        <v>470</v>
      </c>
      <c r="M580" t="s">
        <v>471</v>
      </c>
      <c r="N580">
        <v>15748598</v>
      </c>
      <c r="O580" t="s">
        <v>52</v>
      </c>
      <c r="P580" t="s">
        <v>472</v>
      </c>
    </row>
    <row r="581" spans="1:16" x14ac:dyDescent="0.3">
      <c r="A581" t="s">
        <v>882</v>
      </c>
      <c r="B581" t="s">
        <v>74</v>
      </c>
      <c r="C581" s="51">
        <v>46303.458333333336</v>
      </c>
      <c r="D581" s="51">
        <v>46302.293749999997</v>
      </c>
      <c r="E581" t="s">
        <v>87</v>
      </c>
      <c r="F581" t="s">
        <v>48</v>
      </c>
      <c r="G581" t="s">
        <v>49</v>
      </c>
      <c r="H581" t="s">
        <v>75</v>
      </c>
      <c r="I581" t="s">
        <v>76</v>
      </c>
      <c r="J581" t="s">
        <v>70</v>
      </c>
      <c r="K581" t="s">
        <v>469</v>
      </c>
      <c r="L581" t="s">
        <v>470</v>
      </c>
      <c r="M581" t="s">
        <v>471</v>
      </c>
      <c r="O581" t="s">
        <v>52</v>
      </c>
      <c r="P581" t="s">
        <v>472</v>
      </c>
    </row>
    <row r="582" spans="1:16" x14ac:dyDescent="0.3">
      <c r="A582" t="s">
        <v>883</v>
      </c>
      <c r="B582" t="s">
        <v>74</v>
      </c>
      <c r="C582" s="51">
        <v>46307.9375</v>
      </c>
      <c r="D582" s="51">
        <v>46301.918749999997</v>
      </c>
      <c r="E582" t="s">
        <v>87</v>
      </c>
      <c r="F582" t="s">
        <v>48</v>
      </c>
      <c r="G582" t="s">
        <v>49</v>
      </c>
      <c r="H582" t="s">
        <v>75</v>
      </c>
      <c r="I582" t="s">
        <v>76</v>
      </c>
      <c r="J582" t="s">
        <v>70</v>
      </c>
      <c r="K582" t="s">
        <v>469</v>
      </c>
      <c r="L582" t="s">
        <v>470</v>
      </c>
      <c r="M582" t="s">
        <v>471</v>
      </c>
      <c r="N582">
        <v>15748602</v>
      </c>
      <c r="O582" t="s">
        <v>52</v>
      </c>
      <c r="P582" t="s">
        <v>472</v>
      </c>
    </row>
    <row r="583" spans="1:16" x14ac:dyDescent="0.3">
      <c r="A583" t="s">
        <v>884</v>
      </c>
      <c r="B583" t="s">
        <v>74</v>
      </c>
      <c r="C583" s="51">
        <v>46303.458333333336</v>
      </c>
      <c r="D583" s="51">
        <v>46301.918749999997</v>
      </c>
      <c r="E583" t="s">
        <v>87</v>
      </c>
      <c r="F583" t="s">
        <v>48</v>
      </c>
      <c r="G583" t="s">
        <v>49</v>
      </c>
      <c r="H583" t="s">
        <v>75</v>
      </c>
      <c r="I583" t="s">
        <v>76</v>
      </c>
      <c r="J583" t="s">
        <v>70</v>
      </c>
      <c r="K583" t="s">
        <v>469</v>
      </c>
      <c r="L583" t="s">
        <v>470</v>
      </c>
      <c r="M583" t="s">
        <v>471</v>
      </c>
      <c r="O583" t="s">
        <v>52</v>
      </c>
      <c r="P583" t="s">
        <v>472</v>
      </c>
    </row>
    <row r="584" spans="1:16" x14ac:dyDescent="0.3">
      <c r="A584" t="s">
        <v>885</v>
      </c>
      <c r="B584" t="s">
        <v>47</v>
      </c>
      <c r="C584" s="51">
        <v>46307.938194444447</v>
      </c>
      <c r="D584" s="51">
        <v>46301.906944444447</v>
      </c>
      <c r="E584" t="s">
        <v>87</v>
      </c>
      <c r="F584" t="s">
        <v>48</v>
      </c>
      <c r="G584" t="s">
        <v>49</v>
      </c>
      <c r="H584" t="s">
        <v>50</v>
      </c>
      <c r="I584" t="s">
        <v>66</v>
      </c>
      <c r="J584" t="s">
        <v>51</v>
      </c>
      <c r="K584" t="s">
        <v>469</v>
      </c>
      <c r="L584" t="s">
        <v>470</v>
      </c>
      <c r="M584" t="s">
        <v>471</v>
      </c>
      <c r="N584">
        <v>15748610</v>
      </c>
      <c r="O584" t="s">
        <v>52</v>
      </c>
      <c r="P584" t="s">
        <v>472</v>
      </c>
    </row>
    <row r="585" spans="1:16" x14ac:dyDescent="0.3">
      <c r="A585" t="s">
        <v>886</v>
      </c>
      <c r="B585" t="s">
        <v>47</v>
      </c>
      <c r="C585" s="51">
        <v>46303.458333333336</v>
      </c>
      <c r="D585" s="51">
        <v>46301.906944444447</v>
      </c>
      <c r="E585" t="s">
        <v>87</v>
      </c>
      <c r="F585" t="s">
        <v>48</v>
      </c>
      <c r="G585" t="s">
        <v>49</v>
      </c>
      <c r="H585" t="s">
        <v>50</v>
      </c>
      <c r="I585" t="s">
        <v>66</v>
      </c>
      <c r="J585" t="s">
        <v>51</v>
      </c>
      <c r="K585" t="s">
        <v>469</v>
      </c>
      <c r="L585" t="s">
        <v>470</v>
      </c>
      <c r="M585" t="s">
        <v>471</v>
      </c>
      <c r="O585" t="s">
        <v>52</v>
      </c>
      <c r="P585" t="s">
        <v>472</v>
      </c>
    </row>
    <row r="586" spans="1:16" x14ac:dyDescent="0.3">
      <c r="A586" t="s">
        <v>887</v>
      </c>
      <c r="B586" t="s">
        <v>62</v>
      </c>
      <c r="C586" s="51">
        <v>46303.583333333336</v>
      </c>
      <c r="D586" s="51">
        <v>46301.902083333334</v>
      </c>
      <c r="E586" t="s">
        <v>87</v>
      </c>
      <c r="F586" t="s">
        <v>53</v>
      </c>
      <c r="G586" t="s">
        <v>54</v>
      </c>
      <c r="H586" t="s">
        <v>63</v>
      </c>
      <c r="I586" t="s">
        <v>64</v>
      </c>
      <c r="J586" t="s">
        <v>65</v>
      </c>
      <c r="K586" t="s">
        <v>481</v>
      </c>
      <c r="L586" t="s">
        <v>470</v>
      </c>
      <c r="M586" t="s">
        <v>471</v>
      </c>
      <c r="O586" t="s">
        <v>52</v>
      </c>
      <c r="P586" t="s">
        <v>472</v>
      </c>
    </row>
    <row r="587" spans="1:16" x14ac:dyDescent="0.3">
      <c r="A587" t="s">
        <v>888</v>
      </c>
      <c r="B587" t="s">
        <v>74</v>
      </c>
      <c r="C587" s="51">
        <v>46304.938194444447</v>
      </c>
      <c r="D587" s="51">
        <v>46301.902083333334</v>
      </c>
      <c r="E587" t="s">
        <v>87</v>
      </c>
      <c r="F587" t="s">
        <v>48</v>
      </c>
      <c r="G587" t="s">
        <v>49</v>
      </c>
      <c r="H587" t="s">
        <v>75</v>
      </c>
      <c r="I587" t="s">
        <v>86</v>
      </c>
      <c r="J587" t="s">
        <v>70</v>
      </c>
      <c r="K587" t="s">
        <v>469</v>
      </c>
      <c r="L587" t="s">
        <v>470</v>
      </c>
      <c r="M587" t="s">
        <v>471</v>
      </c>
      <c r="N587">
        <v>15750478</v>
      </c>
      <c r="O587" t="s">
        <v>52</v>
      </c>
      <c r="P587" t="s">
        <v>472</v>
      </c>
    </row>
    <row r="588" spans="1:16" x14ac:dyDescent="0.3">
      <c r="A588" t="s">
        <v>889</v>
      </c>
      <c r="B588" t="s">
        <v>108</v>
      </c>
      <c r="C588" s="51">
        <v>46302.875</v>
      </c>
      <c r="D588" s="51">
        <v>46301.859722222223</v>
      </c>
      <c r="E588" t="s">
        <v>87</v>
      </c>
      <c r="F588" t="s">
        <v>77</v>
      </c>
      <c r="G588" t="s">
        <v>107</v>
      </c>
      <c r="H588" t="s">
        <v>109</v>
      </c>
      <c r="I588" t="s">
        <v>122</v>
      </c>
      <c r="J588" t="s">
        <v>123</v>
      </c>
      <c r="K588" t="s">
        <v>475</v>
      </c>
      <c r="L588" t="s">
        <v>473</v>
      </c>
      <c r="M588">
        <v>0</v>
      </c>
      <c r="O588" t="s">
        <v>503</v>
      </c>
      <c r="P588" t="s">
        <v>474</v>
      </c>
    </row>
    <row r="589" spans="1:16" x14ac:dyDescent="0.3">
      <c r="A589" t="s">
        <v>890</v>
      </c>
      <c r="B589" t="s">
        <v>62</v>
      </c>
      <c r="C589" s="51">
        <v>46303.583333333336</v>
      </c>
      <c r="D589" s="51">
        <v>46301.84652777778</v>
      </c>
      <c r="E589" t="s">
        <v>87</v>
      </c>
      <c r="F589" t="s">
        <v>53</v>
      </c>
      <c r="G589" t="s">
        <v>54</v>
      </c>
      <c r="H589" t="s">
        <v>63</v>
      </c>
      <c r="I589" t="s">
        <v>64</v>
      </c>
      <c r="J589" t="s">
        <v>65</v>
      </c>
      <c r="K589" t="s">
        <v>481</v>
      </c>
      <c r="L589" t="s">
        <v>470</v>
      </c>
      <c r="M589" t="s">
        <v>471</v>
      </c>
      <c r="O589" t="s">
        <v>52</v>
      </c>
      <c r="P589" t="s">
        <v>472</v>
      </c>
    </row>
    <row r="590" spans="1:16" x14ac:dyDescent="0.3">
      <c r="A590" t="s">
        <v>891</v>
      </c>
      <c r="B590" t="s">
        <v>155</v>
      </c>
      <c r="C590" s="51">
        <v>46304.938194444447</v>
      </c>
      <c r="D590" s="51">
        <v>46301.84652777778</v>
      </c>
      <c r="E590" t="s">
        <v>87</v>
      </c>
      <c r="F590" t="s">
        <v>53</v>
      </c>
      <c r="G590" t="s">
        <v>85</v>
      </c>
      <c r="H590" t="s">
        <v>156</v>
      </c>
      <c r="I590" t="s">
        <v>157</v>
      </c>
      <c r="J590" t="s">
        <v>70</v>
      </c>
      <c r="K590" t="s">
        <v>469</v>
      </c>
      <c r="L590" t="s">
        <v>470</v>
      </c>
      <c r="M590" t="s">
        <v>471</v>
      </c>
      <c r="N590">
        <v>15750446</v>
      </c>
      <c r="O590" t="s">
        <v>52</v>
      </c>
      <c r="P590" t="s">
        <v>472</v>
      </c>
    </row>
    <row r="591" spans="1:16" x14ac:dyDescent="0.3">
      <c r="A591" t="s">
        <v>892</v>
      </c>
      <c r="B591" t="s">
        <v>62</v>
      </c>
      <c r="C591" s="51">
        <v>46303.583333333336</v>
      </c>
      <c r="D591" s="51">
        <v>46301.825694444444</v>
      </c>
      <c r="E591" t="s">
        <v>87</v>
      </c>
      <c r="F591" t="s">
        <v>53</v>
      </c>
      <c r="G591" t="s">
        <v>54</v>
      </c>
      <c r="H591" t="s">
        <v>63</v>
      </c>
      <c r="I591" t="s">
        <v>64</v>
      </c>
      <c r="J591" t="s">
        <v>65</v>
      </c>
      <c r="K591" t="s">
        <v>481</v>
      </c>
      <c r="L591" t="s">
        <v>470</v>
      </c>
      <c r="M591" t="s">
        <v>471</v>
      </c>
      <c r="O591" t="s">
        <v>52</v>
      </c>
      <c r="P591" t="s">
        <v>472</v>
      </c>
    </row>
    <row r="592" spans="1:16" x14ac:dyDescent="0.3">
      <c r="A592" t="s">
        <v>893</v>
      </c>
      <c r="B592" t="s">
        <v>74</v>
      </c>
      <c r="C592" s="51">
        <v>46303.938194444447</v>
      </c>
      <c r="D592" s="51">
        <v>46301.825694444444</v>
      </c>
      <c r="E592" t="s">
        <v>87</v>
      </c>
      <c r="F592" t="s">
        <v>48</v>
      </c>
      <c r="G592" t="s">
        <v>49</v>
      </c>
      <c r="H592" t="s">
        <v>75</v>
      </c>
      <c r="I592" t="s">
        <v>76</v>
      </c>
      <c r="J592" t="s">
        <v>70</v>
      </c>
      <c r="K592" t="s">
        <v>469</v>
      </c>
      <c r="L592" t="s">
        <v>470</v>
      </c>
      <c r="M592" t="s">
        <v>471</v>
      </c>
      <c r="N592">
        <v>15750192</v>
      </c>
      <c r="O592" t="s">
        <v>52</v>
      </c>
      <c r="P592" t="s">
        <v>472</v>
      </c>
    </row>
    <row r="593" spans="1:16" x14ac:dyDescent="0.3">
      <c r="A593" t="s">
        <v>894</v>
      </c>
      <c r="B593" t="s">
        <v>62</v>
      </c>
      <c r="C593" s="51">
        <v>46303.583333333336</v>
      </c>
      <c r="D593" s="51">
        <v>46301.822916666664</v>
      </c>
      <c r="E593" t="s">
        <v>87</v>
      </c>
      <c r="F593" t="s">
        <v>53</v>
      </c>
      <c r="G593" t="s">
        <v>54</v>
      </c>
      <c r="H593" t="s">
        <v>63</v>
      </c>
      <c r="I593" t="s">
        <v>64</v>
      </c>
      <c r="J593" t="s">
        <v>65</v>
      </c>
      <c r="K593" t="s">
        <v>481</v>
      </c>
      <c r="L593" t="s">
        <v>470</v>
      </c>
      <c r="M593" t="s">
        <v>471</v>
      </c>
      <c r="O593" t="s">
        <v>52</v>
      </c>
      <c r="P593" t="s">
        <v>472</v>
      </c>
    </row>
    <row r="594" spans="1:16" x14ac:dyDescent="0.3">
      <c r="A594" t="s">
        <v>895</v>
      </c>
      <c r="B594" t="s">
        <v>113</v>
      </c>
      <c r="C594" s="51">
        <v>46304.938194444447</v>
      </c>
      <c r="D594" s="51">
        <v>46301.822916666664</v>
      </c>
      <c r="E594" t="s">
        <v>87</v>
      </c>
      <c r="F594" t="s">
        <v>48</v>
      </c>
      <c r="G594" t="s">
        <v>49</v>
      </c>
      <c r="H594" t="s">
        <v>114</v>
      </c>
      <c r="I594" t="s">
        <v>115</v>
      </c>
      <c r="J594" t="s">
        <v>116</v>
      </c>
      <c r="K594" t="s">
        <v>469</v>
      </c>
      <c r="L594" t="s">
        <v>470</v>
      </c>
      <c r="M594" t="s">
        <v>471</v>
      </c>
      <c r="N594">
        <v>15749890</v>
      </c>
      <c r="O594" t="s">
        <v>52</v>
      </c>
      <c r="P594" t="s">
        <v>472</v>
      </c>
    </row>
    <row r="595" spans="1:16" x14ac:dyDescent="0.3">
      <c r="A595" t="s">
        <v>896</v>
      </c>
      <c r="B595" t="s">
        <v>62</v>
      </c>
      <c r="C595" s="51">
        <v>46303.583333333336</v>
      </c>
      <c r="D595" s="51">
        <v>46301.820138888892</v>
      </c>
      <c r="E595" t="s">
        <v>87</v>
      </c>
      <c r="F595" t="s">
        <v>53</v>
      </c>
      <c r="G595" t="s">
        <v>54</v>
      </c>
      <c r="H595" t="s">
        <v>63</v>
      </c>
      <c r="I595" t="s">
        <v>64</v>
      </c>
      <c r="J595" t="s">
        <v>65</v>
      </c>
      <c r="K595" t="s">
        <v>481</v>
      </c>
      <c r="L595" t="s">
        <v>470</v>
      </c>
      <c r="M595" t="s">
        <v>471</v>
      </c>
      <c r="O595" t="s">
        <v>52</v>
      </c>
      <c r="P595" t="s">
        <v>472</v>
      </c>
    </row>
    <row r="596" spans="1:16" x14ac:dyDescent="0.3">
      <c r="A596" t="s">
        <v>897</v>
      </c>
      <c r="B596" t="s">
        <v>74</v>
      </c>
      <c r="C596" s="51">
        <v>46304.938194444447</v>
      </c>
      <c r="D596" s="51">
        <v>46301.818749999999</v>
      </c>
      <c r="E596" t="s">
        <v>87</v>
      </c>
      <c r="F596" t="s">
        <v>48</v>
      </c>
      <c r="G596" t="s">
        <v>49</v>
      </c>
      <c r="H596" t="s">
        <v>75</v>
      </c>
      <c r="I596" t="s">
        <v>86</v>
      </c>
      <c r="J596" t="s">
        <v>70</v>
      </c>
      <c r="K596" t="s">
        <v>469</v>
      </c>
      <c r="L596" t="s">
        <v>470</v>
      </c>
      <c r="M596" t="s">
        <v>471</v>
      </c>
      <c r="N596">
        <v>15749826</v>
      </c>
      <c r="O596" t="s">
        <v>52</v>
      </c>
      <c r="P596" t="s">
        <v>472</v>
      </c>
    </row>
    <row r="597" spans="1:16" x14ac:dyDescent="0.3">
      <c r="A597" t="s">
        <v>898</v>
      </c>
      <c r="B597" t="s">
        <v>62</v>
      </c>
      <c r="C597" s="51">
        <v>46303.541666666664</v>
      </c>
      <c r="D597" s="51">
        <v>46301.809027777781</v>
      </c>
      <c r="E597" t="s">
        <v>87</v>
      </c>
      <c r="F597" t="s">
        <v>53</v>
      </c>
      <c r="G597" t="s">
        <v>54</v>
      </c>
      <c r="H597" t="s">
        <v>63</v>
      </c>
      <c r="I597" t="s">
        <v>64</v>
      </c>
      <c r="J597" t="s">
        <v>65</v>
      </c>
      <c r="K597" t="s">
        <v>481</v>
      </c>
      <c r="L597" t="s">
        <v>470</v>
      </c>
      <c r="M597" t="s">
        <v>471</v>
      </c>
      <c r="O597" t="s">
        <v>52</v>
      </c>
      <c r="P597" t="s">
        <v>472</v>
      </c>
    </row>
    <row r="598" spans="1:16" x14ac:dyDescent="0.3">
      <c r="A598" t="s">
        <v>899</v>
      </c>
      <c r="B598" t="s">
        <v>113</v>
      </c>
      <c r="C598" s="51">
        <v>46304.938194444447</v>
      </c>
      <c r="D598" s="51">
        <v>46301.809027777781</v>
      </c>
      <c r="E598" t="s">
        <v>87</v>
      </c>
      <c r="F598" t="s">
        <v>48</v>
      </c>
      <c r="G598" t="s">
        <v>49</v>
      </c>
      <c r="H598" t="s">
        <v>114</v>
      </c>
      <c r="I598" t="s">
        <v>115</v>
      </c>
      <c r="J598" t="s">
        <v>116</v>
      </c>
      <c r="K598" t="s">
        <v>469</v>
      </c>
      <c r="L598" t="s">
        <v>470</v>
      </c>
      <c r="M598" t="s">
        <v>471</v>
      </c>
      <c r="N598">
        <v>15749626</v>
      </c>
      <c r="O598" t="s">
        <v>52</v>
      </c>
      <c r="P598" t="s">
        <v>472</v>
      </c>
    </row>
    <row r="599" spans="1:16" x14ac:dyDescent="0.3">
      <c r="A599" t="s">
        <v>900</v>
      </c>
      <c r="B599" t="s">
        <v>62</v>
      </c>
      <c r="C599" s="51">
        <v>46303.5</v>
      </c>
      <c r="D599" s="51">
        <v>46301.802083333336</v>
      </c>
      <c r="E599" t="s">
        <v>87</v>
      </c>
      <c r="F599" t="s">
        <v>53</v>
      </c>
      <c r="G599" t="s">
        <v>54</v>
      </c>
      <c r="H599" t="s">
        <v>63</v>
      </c>
      <c r="I599" t="s">
        <v>64</v>
      </c>
      <c r="J599" t="s">
        <v>65</v>
      </c>
      <c r="K599" t="s">
        <v>481</v>
      </c>
      <c r="L599" t="s">
        <v>470</v>
      </c>
      <c r="M599" t="s">
        <v>471</v>
      </c>
      <c r="O599" t="s">
        <v>52</v>
      </c>
      <c r="P599" t="s">
        <v>472</v>
      </c>
    </row>
    <row r="600" spans="1:16" x14ac:dyDescent="0.3">
      <c r="A600" t="s">
        <v>901</v>
      </c>
      <c r="B600" t="s">
        <v>62</v>
      </c>
      <c r="C600" s="51">
        <v>46303.5</v>
      </c>
      <c r="D600" s="51">
        <v>46301.802083333336</v>
      </c>
      <c r="E600" t="s">
        <v>87</v>
      </c>
      <c r="F600" t="s">
        <v>53</v>
      </c>
      <c r="G600" t="s">
        <v>54</v>
      </c>
      <c r="H600" t="s">
        <v>63</v>
      </c>
      <c r="I600" t="s">
        <v>64</v>
      </c>
      <c r="J600" t="s">
        <v>65</v>
      </c>
      <c r="K600" t="s">
        <v>481</v>
      </c>
      <c r="L600" t="s">
        <v>470</v>
      </c>
      <c r="M600" t="s">
        <v>471</v>
      </c>
      <c r="O600" t="s">
        <v>52</v>
      </c>
      <c r="P600" t="s">
        <v>472</v>
      </c>
    </row>
    <row r="601" spans="1:16" x14ac:dyDescent="0.3">
      <c r="A601" t="s">
        <v>902</v>
      </c>
      <c r="B601" t="s">
        <v>67</v>
      </c>
      <c r="C601" s="51">
        <v>46304.9375</v>
      </c>
      <c r="D601" s="51">
        <v>46301.801388888889</v>
      </c>
      <c r="E601" t="s">
        <v>87</v>
      </c>
      <c r="F601" t="s">
        <v>48</v>
      </c>
      <c r="G601" t="s">
        <v>49</v>
      </c>
      <c r="H601" t="s">
        <v>68</v>
      </c>
      <c r="I601" t="s">
        <v>69</v>
      </c>
      <c r="J601" t="s">
        <v>70</v>
      </c>
      <c r="K601" t="s">
        <v>469</v>
      </c>
      <c r="L601" t="s">
        <v>470</v>
      </c>
      <c r="M601" t="s">
        <v>471</v>
      </c>
      <c r="N601">
        <v>15749692</v>
      </c>
      <c r="O601" t="s">
        <v>52</v>
      </c>
      <c r="P601" t="s">
        <v>472</v>
      </c>
    </row>
    <row r="602" spans="1:16" x14ac:dyDescent="0.3">
      <c r="A602" t="s">
        <v>903</v>
      </c>
      <c r="B602" t="s">
        <v>67</v>
      </c>
      <c r="C602" s="51">
        <v>46304.9375</v>
      </c>
      <c r="D602" s="51">
        <v>46301.801388888889</v>
      </c>
      <c r="E602" t="s">
        <v>87</v>
      </c>
      <c r="F602" t="s">
        <v>48</v>
      </c>
      <c r="G602" t="s">
        <v>49</v>
      </c>
      <c r="H602" t="s">
        <v>68</v>
      </c>
      <c r="I602" t="s">
        <v>69</v>
      </c>
      <c r="J602" t="s">
        <v>70</v>
      </c>
      <c r="K602" t="s">
        <v>469</v>
      </c>
      <c r="L602" t="s">
        <v>470</v>
      </c>
      <c r="M602" t="s">
        <v>471</v>
      </c>
      <c r="N602">
        <v>15749718</v>
      </c>
      <c r="O602" t="s">
        <v>52</v>
      </c>
      <c r="P602" t="s">
        <v>472</v>
      </c>
    </row>
    <row r="603" spans="1:16" x14ac:dyDescent="0.3">
      <c r="A603" t="s">
        <v>904</v>
      </c>
      <c r="B603" t="s">
        <v>62</v>
      </c>
      <c r="C603" s="51">
        <v>46303.5</v>
      </c>
      <c r="D603" s="51">
        <v>46301.736805555556</v>
      </c>
      <c r="E603" t="s">
        <v>87</v>
      </c>
      <c r="F603" t="s">
        <v>53</v>
      </c>
      <c r="G603" t="s">
        <v>54</v>
      </c>
      <c r="H603" t="s">
        <v>63</v>
      </c>
      <c r="I603" t="s">
        <v>64</v>
      </c>
      <c r="J603" t="s">
        <v>65</v>
      </c>
      <c r="K603" t="s">
        <v>481</v>
      </c>
      <c r="L603" t="s">
        <v>470</v>
      </c>
      <c r="M603" t="s">
        <v>471</v>
      </c>
      <c r="O603" t="s">
        <v>52</v>
      </c>
      <c r="P603" t="s">
        <v>472</v>
      </c>
    </row>
    <row r="604" spans="1:16" x14ac:dyDescent="0.3">
      <c r="A604" t="s">
        <v>905</v>
      </c>
      <c r="B604" t="s">
        <v>62</v>
      </c>
      <c r="C604" s="51">
        <v>46303.5</v>
      </c>
      <c r="D604" s="51">
        <v>46301.736805555556</v>
      </c>
      <c r="E604" t="s">
        <v>87</v>
      </c>
      <c r="F604" t="s">
        <v>53</v>
      </c>
      <c r="G604" t="s">
        <v>54</v>
      </c>
      <c r="H604" t="s">
        <v>63</v>
      </c>
      <c r="I604" t="s">
        <v>64</v>
      </c>
      <c r="J604" t="s">
        <v>65</v>
      </c>
      <c r="K604" t="s">
        <v>481</v>
      </c>
      <c r="L604" t="s">
        <v>470</v>
      </c>
      <c r="M604" t="s">
        <v>471</v>
      </c>
      <c r="O604" t="s">
        <v>52</v>
      </c>
      <c r="P604" t="s">
        <v>472</v>
      </c>
    </row>
    <row r="605" spans="1:16" x14ac:dyDescent="0.3">
      <c r="A605" t="s">
        <v>907</v>
      </c>
      <c r="B605" t="s">
        <v>67</v>
      </c>
      <c r="C605" s="51">
        <v>46303.938194444447</v>
      </c>
      <c r="D605" s="51">
        <v>46301.736805555556</v>
      </c>
      <c r="E605" t="s">
        <v>87</v>
      </c>
      <c r="F605" t="s">
        <v>48</v>
      </c>
      <c r="G605" t="s">
        <v>49</v>
      </c>
      <c r="H605" t="s">
        <v>68</v>
      </c>
      <c r="I605" t="s">
        <v>69</v>
      </c>
      <c r="J605" t="s">
        <v>70</v>
      </c>
      <c r="K605" t="s">
        <v>469</v>
      </c>
      <c r="L605" t="s">
        <v>470</v>
      </c>
      <c r="M605" t="s">
        <v>471</v>
      </c>
      <c r="N605">
        <v>15749256</v>
      </c>
      <c r="O605" t="s">
        <v>52</v>
      </c>
      <c r="P605" t="s">
        <v>472</v>
      </c>
    </row>
    <row r="606" spans="1:16" x14ac:dyDescent="0.3">
      <c r="A606" t="s">
        <v>906</v>
      </c>
      <c r="B606" t="s">
        <v>47</v>
      </c>
      <c r="C606" s="51">
        <v>46303.9375</v>
      </c>
      <c r="D606" s="51">
        <v>46301.736805555556</v>
      </c>
      <c r="E606" t="s">
        <v>87</v>
      </c>
      <c r="F606" t="s">
        <v>48</v>
      </c>
      <c r="G606" t="s">
        <v>49</v>
      </c>
      <c r="H606" t="s">
        <v>50</v>
      </c>
      <c r="I606" t="s">
        <v>66</v>
      </c>
      <c r="J606" t="s">
        <v>51</v>
      </c>
      <c r="K606" t="s">
        <v>469</v>
      </c>
      <c r="L606" t="s">
        <v>470</v>
      </c>
      <c r="M606" t="s">
        <v>471</v>
      </c>
      <c r="N606">
        <v>15749264</v>
      </c>
      <c r="O606" t="s">
        <v>52</v>
      </c>
      <c r="P606" t="s">
        <v>472</v>
      </c>
    </row>
    <row r="607" spans="1:16" x14ac:dyDescent="0.3">
      <c r="A607" t="s">
        <v>908</v>
      </c>
      <c r="B607" t="s">
        <v>57</v>
      </c>
      <c r="C607" s="51">
        <v>46302.75</v>
      </c>
      <c r="D607" s="51">
        <v>46301.734027777777</v>
      </c>
      <c r="E607" t="s">
        <v>87</v>
      </c>
      <c r="F607" t="s">
        <v>58</v>
      </c>
      <c r="G607" t="s">
        <v>59</v>
      </c>
      <c r="H607" t="s">
        <v>60</v>
      </c>
      <c r="I607" t="s">
        <v>61</v>
      </c>
      <c r="J607" t="s">
        <v>55</v>
      </c>
      <c r="K607" t="s">
        <v>486</v>
      </c>
      <c r="L607" t="s">
        <v>473</v>
      </c>
      <c r="O607" t="s">
        <v>503</v>
      </c>
      <c r="P607" t="s">
        <v>474</v>
      </c>
    </row>
    <row r="608" spans="1:16" x14ac:dyDescent="0.3">
      <c r="A608" t="s">
        <v>909</v>
      </c>
      <c r="B608" t="s">
        <v>47</v>
      </c>
      <c r="C608" s="51">
        <v>46304.938194444447</v>
      </c>
      <c r="D608" s="51">
        <v>46301.673611111109</v>
      </c>
      <c r="E608" t="s">
        <v>87</v>
      </c>
      <c r="F608" t="s">
        <v>48</v>
      </c>
      <c r="G608" t="s">
        <v>49</v>
      </c>
      <c r="H608" t="s">
        <v>50</v>
      </c>
      <c r="I608" t="s">
        <v>66</v>
      </c>
      <c r="J608" t="s">
        <v>51</v>
      </c>
      <c r="K608" t="s">
        <v>469</v>
      </c>
      <c r="L608" t="s">
        <v>470</v>
      </c>
      <c r="M608" t="s">
        <v>471</v>
      </c>
      <c r="N608">
        <v>15743794</v>
      </c>
      <c r="O608" t="s">
        <v>52</v>
      </c>
      <c r="P608" t="s">
        <v>472</v>
      </c>
    </row>
    <row r="609" spans="1:16" x14ac:dyDescent="0.3">
      <c r="A609" t="s">
        <v>910</v>
      </c>
      <c r="B609" t="s">
        <v>47</v>
      </c>
      <c r="C609" s="51">
        <v>46302.75</v>
      </c>
      <c r="D609" s="51">
        <v>46301.673611111109</v>
      </c>
      <c r="E609" t="s">
        <v>87</v>
      </c>
      <c r="F609" t="s">
        <v>48</v>
      </c>
      <c r="G609" t="s">
        <v>49</v>
      </c>
      <c r="H609" t="s">
        <v>50</v>
      </c>
      <c r="I609" t="s">
        <v>66</v>
      </c>
      <c r="J609" t="s">
        <v>51</v>
      </c>
      <c r="K609" t="s">
        <v>469</v>
      </c>
      <c r="L609" t="s">
        <v>470</v>
      </c>
      <c r="M609" t="s">
        <v>471</v>
      </c>
      <c r="O609" t="s">
        <v>52</v>
      </c>
      <c r="P609" t="s">
        <v>472</v>
      </c>
    </row>
    <row r="610" spans="1:16" x14ac:dyDescent="0.3">
      <c r="A610" t="s">
        <v>911</v>
      </c>
      <c r="B610" t="s">
        <v>47</v>
      </c>
      <c r="C610" s="51">
        <v>46302.75</v>
      </c>
      <c r="D610" s="51">
        <v>46301.667361111111</v>
      </c>
      <c r="E610" t="s">
        <v>87</v>
      </c>
      <c r="F610" t="s">
        <v>48</v>
      </c>
      <c r="G610" t="s">
        <v>49</v>
      </c>
      <c r="H610" t="s">
        <v>50</v>
      </c>
      <c r="I610" t="s">
        <v>66</v>
      </c>
      <c r="J610" t="s">
        <v>51</v>
      </c>
      <c r="K610" t="s">
        <v>469</v>
      </c>
      <c r="L610" t="s">
        <v>470</v>
      </c>
      <c r="M610" t="s">
        <v>471</v>
      </c>
      <c r="O610" t="s">
        <v>52</v>
      </c>
      <c r="P610" t="s">
        <v>472</v>
      </c>
    </row>
    <row r="611" spans="1:16" x14ac:dyDescent="0.3">
      <c r="A611" t="s">
        <v>912</v>
      </c>
      <c r="B611" t="s">
        <v>47</v>
      </c>
      <c r="C611" s="51">
        <v>46302.75</v>
      </c>
      <c r="D611" s="51">
        <v>46301.667361111111</v>
      </c>
      <c r="E611" t="s">
        <v>87</v>
      </c>
      <c r="F611" t="s">
        <v>48</v>
      </c>
      <c r="G611" t="s">
        <v>49</v>
      </c>
      <c r="H611" t="s">
        <v>50</v>
      </c>
      <c r="I611" t="s">
        <v>66</v>
      </c>
      <c r="J611" t="s">
        <v>51</v>
      </c>
      <c r="K611" t="s">
        <v>469</v>
      </c>
      <c r="L611" t="s">
        <v>470</v>
      </c>
      <c r="M611" t="s">
        <v>471</v>
      </c>
      <c r="O611" t="s">
        <v>52</v>
      </c>
      <c r="P611" t="s">
        <v>472</v>
      </c>
    </row>
    <row r="612" spans="1:16" x14ac:dyDescent="0.3">
      <c r="A612" t="s">
        <v>913</v>
      </c>
      <c r="B612" t="s">
        <v>74</v>
      </c>
      <c r="C612" s="51">
        <v>46304.938194444447</v>
      </c>
      <c r="D612" s="51">
        <v>46301.660416666666</v>
      </c>
      <c r="E612" t="s">
        <v>87</v>
      </c>
      <c r="F612" t="s">
        <v>48</v>
      </c>
      <c r="G612" t="s">
        <v>49</v>
      </c>
      <c r="H612" t="s">
        <v>75</v>
      </c>
      <c r="I612" t="s">
        <v>76</v>
      </c>
      <c r="J612" t="s">
        <v>70</v>
      </c>
      <c r="K612" t="s">
        <v>469</v>
      </c>
      <c r="L612" t="s">
        <v>470</v>
      </c>
      <c r="M612" t="s">
        <v>471</v>
      </c>
      <c r="N612">
        <v>15743796</v>
      </c>
      <c r="O612" t="s">
        <v>52</v>
      </c>
      <c r="P612" t="s">
        <v>472</v>
      </c>
    </row>
    <row r="613" spans="1:16" x14ac:dyDescent="0.3">
      <c r="A613" t="s">
        <v>914</v>
      </c>
      <c r="B613" t="s">
        <v>47</v>
      </c>
      <c r="C613" s="51">
        <v>46302.75</v>
      </c>
      <c r="D613" s="51">
        <v>46301.660416666666</v>
      </c>
      <c r="E613" t="s">
        <v>87</v>
      </c>
      <c r="F613" t="s">
        <v>48</v>
      </c>
      <c r="G613" t="s">
        <v>49</v>
      </c>
      <c r="H613" t="s">
        <v>50</v>
      </c>
      <c r="I613" t="s">
        <v>66</v>
      </c>
      <c r="J613" t="s">
        <v>51</v>
      </c>
      <c r="K613" t="s">
        <v>469</v>
      </c>
      <c r="L613" t="s">
        <v>470</v>
      </c>
      <c r="M613" t="s">
        <v>471</v>
      </c>
      <c r="O613" t="s">
        <v>52</v>
      </c>
      <c r="P613" t="s">
        <v>472</v>
      </c>
    </row>
    <row r="614" spans="1:16" x14ac:dyDescent="0.3">
      <c r="A614" t="s">
        <v>915</v>
      </c>
      <c r="B614" t="s">
        <v>74</v>
      </c>
      <c r="C614" s="51">
        <v>46307.938194444447</v>
      </c>
      <c r="D614" s="51">
        <v>46301.660416666666</v>
      </c>
      <c r="E614" t="s">
        <v>87</v>
      </c>
      <c r="F614" t="s">
        <v>48</v>
      </c>
      <c r="G614" t="s">
        <v>49</v>
      </c>
      <c r="H614" t="s">
        <v>75</v>
      </c>
      <c r="I614" t="s">
        <v>76</v>
      </c>
      <c r="J614" t="s">
        <v>70</v>
      </c>
      <c r="K614" t="s">
        <v>469</v>
      </c>
      <c r="L614" t="s">
        <v>470</v>
      </c>
      <c r="M614" t="s">
        <v>471</v>
      </c>
      <c r="N614">
        <v>15743800</v>
      </c>
      <c r="O614" t="s">
        <v>52</v>
      </c>
      <c r="P614" t="s">
        <v>472</v>
      </c>
    </row>
    <row r="615" spans="1:16" x14ac:dyDescent="0.3">
      <c r="A615" t="s">
        <v>916</v>
      </c>
      <c r="B615" t="s">
        <v>74</v>
      </c>
      <c r="C615" s="51">
        <v>46302.75</v>
      </c>
      <c r="D615" s="51">
        <v>46301.660416666666</v>
      </c>
      <c r="E615" t="s">
        <v>87</v>
      </c>
      <c r="F615" t="s">
        <v>48</v>
      </c>
      <c r="G615" t="s">
        <v>49</v>
      </c>
      <c r="H615" t="s">
        <v>75</v>
      </c>
      <c r="I615" t="s">
        <v>76</v>
      </c>
      <c r="J615" t="s">
        <v>70</v>
      </c>
      <c r="K615" t="s">
        <v>469</v>
      </c>
      <c r="L615" t="s">
        <v>470</v>
      </c>
      <c r="M615" t="s">
        <v>471</v>
      </c>
      <c r="O615" t="s">
        <v>52</v>
      </c>
      <c r="P615" t="s">
        <v>472</v>
      </c>
    </row>
    <row r="616" spans="1:16" x14ac:dyDescent="0.3">
      <c r="A616" t="s">
        <v>917</v>
      </c>
      <c r="B616" t="s">
        <v>74</v>
      </c>
      <c r="C616" s="51">
        <v>46302.75</v>
      </c>
      <c r="D616" s="51">
        <v>46301.660416666666</v>
      </c>
      <c r="E616" t="s">
        <v>87</v>
      </c>
      <c r="F616" t="s">
        <v>48</v>
      </c>
      <c r="G616" t="s">
        <v>49</v>
      </c>
      <c r="H616" t="s">
        <v>75</v>
      </c>
      <c r="I616" t="s">
        <v>76</v>
      </c>
      <c r="J616" t="s">
        <v>70</v>
      </c>
      <c r="K616" t="s">
        <v>469</v>
      </c>
      <c r="L616" t="s">
        <v>470</v>
      </c>
      <c r="M616" t="s">
        <v>471</v>
      </c>
      <c r="O616" t="s">
        <v>52</v>
      </c>
      <c r="P616" t="s">
        <v>472</v>
      </c>
    </row>
    <row r="617" spans="1:16" x14ac:dyDescent="0.3">
      <c r="A617" t="s">
        <v>918</v>
      </c>
      <c r="B617" t="s">
        <v>74</v>
      </c>
      <c r="C617" s="51">
        <v>46302.75</v>
      </c>
      <c r="D617" s="51">
        <v>46301.660416666666</v>
      </c>
      <c r="E617" t="s">
        <v>87</v>
      </c>
      <c r="F617" t="s">
        <v>48</v>
      </c>
      <c r="G617" t="s">
        <v>49</v>
      </c>
      <c r="H617" t="s">
        <v>75</v>
      </c>
      <c r="I617" t="s">
        <v>76</v>
      </c>
      <c r="J617" t="s">
        <v>70</v>
      </c>
      <c r="K617" t="s">
        <v>469</v>
      </c>
      <c r="L617" t="s">
        <v>470</v>
      </c>
      <c r="M617" t="s">
        <v>471</v>
      </c>
      <c r="O617" t="s">
        <v>52</v>
      </c>
      <c r="P617" t="s">
        <v>472</v>
      </c>
    </row>
    <row r="618" spans="1:16" x14ac:dyDescent="0.3">
      <c r="A618" t="s">
        <v>919</v>
      </c>
      <c r="B618" t="s">
        <v>74</v>
      </c>
      <c r="C618" s="51">
        <v>46303.938194444447</v>
      </c>
      <c r="D618" s="51">
        <v>46301.658333333333</v>
      </c>
      <c r="E618" t="s">
        <v>87</v>
      </c>
      <c r="F618" t="s">
        <v>48</v>
      </c>
      <c r="G618" t="s">
        <v>49</v>
      </c>
      <c r="H618" t="s">
        <v>75</v>
      </c>
      <c r="I618" t="s">
        <v>76</v>
      </c>
      <c r="J618" t="s">
        <v>70</v>
      </c>
      <c r="K618" t="s">
        <v>469</v>
      </c>
      <c r="L618" t="s">
        <v>470</v>
      </c>
      <c r="M618" t="s">
        <v>471</v>
      </c>
      <c r="N618">
        <v>15743802</v>
      </c>
      <c r="O618" t="s">
        <v>52</v>
      </c>
      <c r="P618" t="s">
        <v>472</v>
      </c>
    </row>
    <row r="619" spans="1:16" x14ac:dyDescent="0.3">
      <c r="A619" t="s">
        <v>920</v>
      </c>
      <c r="B619" t="s">
        <v>74</v>
      </c>
      <c r="C619" s="51">
        <v>46302.75</v>
      </c>
      <c r="D619" s="51">
        <v>46301.658333333333</v>
      </c>
      <c r="E619" t="s">
        <v>87</v>
      </c>
      <c r="F619" t="s">
        <v>48</v>
      </c>
      <c r="G619" t="s">
        <v>49</v>
      </c>
      <c r="H619" t="s">
        <v>75</v>
      </c>
      <c r="I619" t="s">
        <v>76</v>
      </c>
      <c r="J619" t="s">
        <v>70</v>
      </c>
      <c r="K619" t="s">
        <v>469</v>
      </c>
      <c r="L619" t="s">
        <v>470</v>
      </c>
      <c r="M619" t="s">
        <v>471</v>
      </c>
      <c r="O619" t="s">
        <v>52</v>
      </c>
      <c r="P619" t="s">
        <v>472</v>
      </c>
    </row>
    <row r="620" spans="1:16" x14ac:dyDescent="0.3">
      <c r="A620" t="s">
        <v>921</v>
      </c>
      <c r="B620" t="s">
        <v>74</v>
      </c>
      <c r="C620" s="51">
        <v>46303.938194444447</v>
      </c>
      <c r="D620" s="51">
        <v>46301.65625</v>
      </c>
      <c r="E620" t="s">
        <v>87</v>
      </c>
      <c r="F620" t="s">
        <v>48</v>
      </c>
      <c r="G620" t="s">
        <v>49</v>
      </c>
      <c r="H620" t="s">
        <v>75</v>
      </c>
      <c r="I620" t="s">
        <v>76</v>
      </c>
      <c r="J620" t="s">
        <v>70</v>
      </c>
      <c r="K620" t="s">
        <v>469</v>
      </c>
      <c r="L620" t="s">
        <v>470</v>
      </c>
      <c r="M620" t="s">
        <v>471</v>
      </c>
      <c r="N620">
        <v>15743804</v>
      </c>
      <c r="O620" t="s">
        <v>52</v>
      </c>
      <c r="P620" t="s">
        <v>472</v>
      </c>
    </row>
    <row r="621" spans="1:16" x14ac:dyDescent="0.3">
      <c r="A621" t="s">
        <v>922</v>
      </c>
      <c r="B621" t="s">
        <v>74</v>
      </c>
      <c r="C621" s="51">
        <v>46302.75</v>
      </c>
      <c r="D621" s="51">
        <v>46301.65625</v>
      </c>
      <c r="E621" t="s">
        <v>87</v>
      </c>
      <c r="F621" t="s">
        <v>48</v>
      </c>
      <c r="G621" t="s">
        <v>49</v>
      </c>
      <c r="H621" t="s">
        <v>75</v>
      </c>
      <c r="I621" t="s">
        <v>76</v>
      </c>
      <c r="J621" t="s">
        <v>70</v>
      </c>
      <c r="K621" t="s">
        <v>469</v>
      </c>
      <c r="L621" t="s">
        <v>470</v>
      </c>
      <c r="M621" t="s">
        <v>471</v>
      </c>
      <c r="O621" t="s">
        <v>52</v>
      </c>
      <c r="P621" t="s">
        <v>472</v>
      </c>
    </row>
    <row r="622" spans="1:16" x14ac:dyDescent="0.3">
      <c r="A622" t="s">
        <v>923</v>
      </c>
      <c r="B622" t="s">
        <v>74</v>
      </c>
      <c r="C622" s="51">
        <v>46307.938194444447</v>
      </c>
      <c r="D622" s="51">
        <v>46301.65347222222</v>
      </c>
      <c r="E622" t="s">
        <v>87</v>
      </c>
      <c r="F622" t="s">
        <v>48</v>
      </c>
      <c r="G622" t="s">
        <v>49</v>
      </c>
      <c r="H622" t="s">
        <v>75</v>
      </c>
      <c r="I622" t="s">
        <v>76</v>
      </c>
      <c r="J622" t="s">
        <v>70</v>
      </c>
      <c r="K622" t="s">
        <v>469</v>
      </c>
      <c r="L622" t="s">
        <v>470</v>
      </c>
      <c r="M622" t="s">
        <v>471</v>
      </c>
      <c r="N622">
        <v>15743806</v>
      </c>
      <c r="O622" t="s">
        <v>52</v>
      </c>
      <c r="P622" t="s">
        <v>472</v>
      </c>
    </row>
    <row r="623" spans="1:16" x14ac:dyDescent="0.3">
      <c r="A623" t="s">
        <v>924</v>
      </c>
      <c r="B623" t="s">
        <v>74</v>
      </c>
      <c r="C623" s="51">
        <v>46302.75</v>
      </c>
      <c r="D623" s="51">
        <v>46301.65347222222</v>
      </c>
      <c r="E623" t="s">
        <v>87</v>
      </c>
      <c r="F623" t="s">
        <v>48</v>
      </c>
      <c r="G623" t="s">
        <v>49</v>
      </c>
      <c r="H623" t="s">
        <v>75</v>
      </c>
      <c r="I623" t="s">
        <v>76</v>
      </c>
      <c r="J623" t="s">
        <v>70</v>
      </c>
      <c r="K623" t="s">
        <v>469</v>
      </c>
      <c r="L623" t="s">
        <v>470</v>
      </c>
      <c r="M623" t="s">
        <v>471</v>
      </c>
      <c r="O623" t="s">
        <v>52</v>
      </c>
      <c r="P623" t="s">
        <v>472</v>
      </c>
    </row>
    <row r="624" spans="1:16" x14ac:dyDescent="0.3">
      <c r="A624" t="s">
        <v>925</v>
      </c>
      <c r="B624" t="s">
        <v>71</v>
      </c>
      <c r="C624" s="51">
        <v>46304.938194444447</v>
      </c>
      <c r="D624" s="51">
        <v>46301.652083333334</v>
      </c>
      <c r="E624" t="s">
        <v>87</v>
      </c>
      <c r="F624" t="s">
        <v>48</v>
      </c>
      <c r="G624" t="s">
        <v>49</v>
      </c>
      <c r="H624" t="s">
        <v>72</v>
      </c>
      <c r="I624" t="s">
        <v>73</v>
      </c>
      <c r="J624" t="s">
        <v>70</v>
      </c>
      <c r="K624" t="s">
        <v>469</v>
      </c>
      <c r="L624" t="s">
        <v>470</v>
      </c>
      <c r="M624" t="s">
        <v>485</v>
      </c>
      <c r="N624">
        <v>15743808</v>
      </c>
      <c r="O624" t="s">
        <v>52</v>
      </c>
      <c r="P624" t="s">
        <v>472</v>
      </c>
    </row>
    <row r="625" spans="1:16" x14ac:dyDescent="0.3">
      <c r="A625" t="s">
        <v>926</v>
      </c>
      <c r="B625" t="s">
        <v>74</v>
      </c>
      <c r="C625" s="51">
        <v>46302.75</v>
      </c>
      <c r="D625" s="51">
        <v>46301.65</v>
      </c>
      <c r="E625" t="s">
        <v>87</v>
      </c>
      <c r="F625" t="s">
        <v>48</v>
      </c>
      <c r="G625" t="s">
        <v>49</v>
      </c>
      <c r="H625" t="s">
        <v>75</v>
      </c>
      <c r="I625" t="s">
        <v>86</v>
      </c>
      <c r="J625" t="s">
        <v>70</v>
      </c>
      <c r="K625" t="s">
        <v>469</v>
      </c>
      <c r="L625" t="s">
        <v>470</v>
      </c>
      <c r="M625" t="s">
        <v>471</v>
      </c>
      <c r="O625" t="s">
        <v>52</v>
      </c>
      <c r="P625" t="s">
        <v>472</v>
      </c>
    </row>
    <row r="626" spans="1:16" x14ac:dyDescent="0.3">
      <c r="A626" t="s">
        <v>927</v>
      </c>
      <c r="B626" t="s">
        <v>74</v>
      </c>
      <c r="C626" s="51">
        <v>46302.75</v>
      </c>
      <c r="D626" s="51">
        <v>46301.648611111108</v>
      </c>
      <c r="E626" t="s">
        <v>87</v>
      </c>
      <c r="F626" t="s">
        <v>48</v>
      </c>
      <c r="G626" t="s">
        <v>49</v>
      </c>
      <c r="H626" t="s">
        <v>75</v>
      </c>
      <c r="I626" t="s">
        <v>86</v>
      </c>
      <c r="J626" t="s">
        <v>70</v>
      </c>
      <c r="K626" t="s">
        <v>469</v>
      </c>
      <c r="L626" t="s">
        <v>470</v>
      </c>
      <c r="M626" t="s">
        <v>471</v>
      </c>
      <c r="O626" t="s">
        <v>52</v>
      </c>
      <c r="P626" t="s">
        <v>472</v>
      </c>
    </row>
    <row r="627" spans="1:16" x14ac:dyDescent="0.3">
      <c r="A627" t="s">
        <v>928</v>
      </c>
      <c r="B627" t="s">
        <v>62</v>
      </c>
      <c r="C627" s="51">
        <v>46303.458333333336</v>
      </c>
      <c r="D627" s="51">
        <v>46301.62777777778</v>
      </c>
      <c r="E627" t="s">
        <v>87</v>
      </c>
      <c r="F627" t="s">
        <v>53</v>
      </c>
      <c r="G627" t="s">
        <v>54</v>
      </c>
      <c r="H627" t="s">
        <v>63</v>
      </c>
      <c r="I627" t="s">
        <v>64</v>
      </c>
      <c r="J627" t="s">
        <v>65</v>
      </c>
      <c r="K627" t="s">
        <v>481</v>
      </c>
      <c r="L627" t="s">
        <v>470</v>
      </c>
      <c r="M627" t="s">
        <v>471</v>
      </c>
      <c r="O627" t="s">
        <v>52</v>
      </c>
      <c r="P627" t="s">
        <v>472</v>
      </c>
    </row>
    <row r="628" spans="1:16" x14ac:dyDescent="0.3">
      <c r="A628" t="s">
        <v>929</v>
      </c>
      <c r="B628" t="s">
        <v>67</v>
      </c>
      <c r="C628" s="51">
        <v>46304.938194444447</v>
      </c>
      <c r="D628" s="51">
        <v>46301.626388888886</v>
      </c>
      <c r="E628" t="s">
        <v>87</v>
      </c>
      <c r="F628" t="s">
        <v>48</v>
      </c>
      <c r="G628" t="s">
        <v>49</v>
      </c>
      <c r="H628" t="s">
        <v>68</v>
      </c>
      <c r="I628" t="s">
        <v>69</v>
      </c>
      <c r="J628" t="s">
        <v>70</v>
      </c>
      <c r="K628" t="s">
        <v>469</v>
      </c>
      <c r="L628" t="s">
        <v>470</v>
      </c>
      <c r="M628" t="s">
        <v>471</v>
      </c>
      <c r="N628">
        <v>15749048</v>
      </c>
      <c r="O628" t="s">
        <v>52</v>
      </c>
      <c r="P628" t="s">
        <v>472</v>
      </c>
    </row>
    <row r="629" spans="1:16" x14ac:dyDescent="0.3">
      <c r="A629" t="s">
        <v>930</v>
      </c>
      <c r="B629" t="s">
        <v>62</v>
      </c>
      <c r="C629" s="51">
        <v>46303.458333333336</v>
      </c>
      <c r="D629" s="51">
        <v>46301.625</v>
      </c>
      <c r="E629" t="s">
        <v>87</v>
      </c>
      <c r="F629" t="s">
        <v>53</v>
      </c>
      <c r="G629" t="s">
        <v>54</v>
      </c>
      <c r="H629" t="s">
        <v>63</v>
      </c>
      <c r="I629" t="s">
        <v>64</v>
      </c>
      <c r="J629" t="s">
        <v>65</v>
      </c>
      <c r="K629" t="s">
        <v>481</v>
      </c>
      <c r="L629" t="s">
        <v>470</v>
      </c>
      <c r="M629" t="s">
        <v>471</v>
      </c>
      <c r="O629" t="s">
        <v>52</v>
      </c>
      <c r="P629" t="s">
        <v>472</v>
      </c>
    </row>
    <row r="630" spans="1:16" x14ac:dyDescent="0.3">
      <c r="A630" t="s">
        <v>931</v>
      </c>
      <c r="B630" t="s">
        <v>67</v>
      </c>
      <c r="C630" s="51">
        <v>46307.9375</v>
      </c>
      <c r="D630" s="51">
        <v>46301.625</v>
      </c>
      <c r="E630" t="s">
        <v>87</v>
      </c>
      <c r="F630" t="s">
        <v>48</v>
      </c>
      <c r="G630" t="s">
        <v>49</v>
      </c>
      <c r="H630" t="s">
        <v>68</v>
      </c>
      <c r="I630" t="s">
        <v>69</v>
      </c>
      <c r="J630" t="s">
        <v>70</v>
      </c>
      <c r="K630" t="s">
        <v>469</v>
      </c>
      <c r="L630" t="s">
        <v>470</v>
      </c>
      <c r="M630" t="s">
        <v>471</v>
      </c>
      <c r="N630">
        <v>15749020</v>
      </c>
      <c r="O630" t="s">
        <v>52</v>
      </c>
      <c r="P630" t="s">
        <v>472</v>
      </c>
    </row>
    <row r="631" spans="1:16" x14ac:dyDescent="0.3">
      <c r="A631" t="s">
        <v>932</v>
      </c>
      <c r="B631" t="s">
        <v>74</v>
      </c>
      <c r="C631" s="51">
        <v>46304.938194444447</v>
      </c>
      <c r="D631" s="51">
        <v>46301.609027777777</v>
      </c>
      <c r="E631" t="s">
        <v>87</v>
      </c>
      <c r="F631" t="s">
        <v>48</v>
      </c>
      <c r="G631" t="s">
        <v>49</v>
      </c>
      <c r="H631" t="s">
        <v>75</v>
      </c>
      <c r="I631" t="s">
        <v>86</v>
      </c>
      <c r="J631" t="s">
        <v>70</v>
      </c>
      <c r="K631" t="s">
        <v>469</v>
      </c>
      <c r="L631" t="s">
        <v>470</v>
      </c>
      <c r="M631" t="s">
        <v>471</v>
      </c>
      <c r="N631">
        <v>15742464</v>
      </c>
      <c r="O631" t="s">
        <v>52</v>
      </c>
      <c r="P631" t="s">
        <v>472</v>
      </c>
    </row>
    <row r="632" spans="1:16" x14ac:dyDescent="0.3">
      <c r="A632" t="s">
        <v>933</v>
      </c>
      <c r="B632" t="s">
        <v>67</v>
      </c>
      <c r="C632" s="51">
        <v>46304.938194444447</v>
      </c>
      <c r="D632" s="51">
        <v>46301.609027777777</v>
      </c>
      <c r="E632" t="s">
        <v>87</v>
      </c>
      <c r="F632" t="s">
        <v>48</v>
      </c>
      <c r="G632" t="s">
        <v>49</v>
      </c>
      <c r="H632" t="s">
        <v>68</v>
      </c>
      <c r="I632" t="s">
        <v>69</v>
      </c>
      <c r="J632" t="s">
        <v>70</v>
      </c>
      <c r="K632" t="s">
        <v>469</v>
      </c>
      <c r="L632" t="s">
        <v>470</v>
      </c>
      <c r="M632" t="s">
        <v>471</v>
      </c>
      <c r="N632">
        <v>15742474</v>
      </c>
      <c r="O632" t="s">
        <v>52</v>
      </c>
      <c r="P632" t="s">
        <v>472</v>
      </c>
    </row>
    <row r="633" spans="1:16" x14ac:dyDescent="0.3">
      <c r="A633" t="s">
        <v>934</v>
      </c>
      <c r="B633" t="s">
        <v>74</v>
      </c>
      <c r="C633" s="51">
        <v>46302.708333333336</v>
      </c>
      <c r="D633" s="51">
        <v>46301.609027777777</v>
      </c>
      <c r="E633" t="s">
        <v>87</v>
      </c>
      <c r="F633" t="s">
        <v>48</v>
      </c>
      <c r="G633" t="s">
        <v>49</v>
      </c>
      <c r="H633" t="s">
        <v>75</v>
      </c>
      <c r="I633" t="s">
        <v>86</v>
      </c>
      <c r="J633" t="s">
        <v>70</v>
      </c>
      <c r="K633" t="s">
        <v>469</v>
      </c>
      <c r="L633" t="s">
        <v>470</v>
      </c>
      <c r="M633" t="s">
        <v>471</v>
      </c>
      <c r="O633" t="s">
        <v>52</v>
      </c>
      <c r="P633" t="s">
        <v>472</v>
      </c>
    </row>
    <row r="634" spans="1:16" x14ac:dyDescent="0.3">
      <c r="A634" t="s">
        <v>935</v>
      </c>
      <c r="B634" t="s">
        <v>67</v>
      </c>
      <c r="C634" s="51">
        <v>46302.708333333336</v>
      </c>
      <c r="D634" s="51">
        <v>46301.609027777777</v>
      </c>
      <c r="E634" t="s">
        <v>87</v>
      </c>
      <c r="F634" t="s">
        <v>48</v>
      </c>
      <c r="G634" t="s">
        <v>49</v>
      </c>
      <c r="H634" t="s">
        <v>68</v>
      </c>
      <c r="I634" t="s">
        <v>69</v>
      </c>
      <c r="J634" t="s">
        <v>70</v>
      </c>
      <c r="K634" t="s">
        <v>469</v>
      </c>
      <c r="L634" t="s">
        <v>470</v>
      </c>
      <c r="M634" t="s">
        <v>471</v>
      </c>
      <c r="O634" t="s">
        <v>52</v>
      </c>
      <c r="P634" t="s">
        <v>472</v>
      </c>
    </row>
    <row r="635" spans="1:16" x14ac:dyDescent="0.3">
      <c r="A635" t="s">
        <v>936</v>
      </c>
      <c r="B635" t="s">
        <v>158</v>
      </c>
      <c r="C635" s="51">
        <v>46302.625</v>
      </c>
      <c r="D635" s="51">
        <v>46301.609027777777</v>
      </c>
      <c r="E635" t="s">
        <v>87</v>
      </c>
      <c r="F635" t="s">
        <v>53</v>
      </c>
      <c r="G635" t="s">
        <v>54</v>
      </c>
      <c r="H635" t="s">
        <v>159</v>
      </c>
      <c r="I635" t="s">
        <v>160</v>
      </c>
      <c r="J635" t="s">
        <v>55</v>
      </c>
      <c r="K635" t="s">
        <v>481</v>
      </c>
      <c r="L635" t="s">
        <v>473</v>
      </c>
      <c r="M635" t="s">
        <v>478</v>
      </c>
      <c r="O635" t="s">
        <v>56</v>
      </c>
      <c r="P635" t="s">
        <v>474</v>
      </c>
    </row>
    <row r="636" spans="1:16" x14ac:dyDescent="0.3">
      <c r="A636" t="s">
        <v>937</v>
      </c>
      <c r="B636" t="s">
        <v>71</v>
      </c>
      <c r="C636" s="51">
        <v>46304.938194444447</v>
      </c>
      <c r="D636" s="51">
        <v>46301.603472222225</v>
      </c>
      <c r="E636" t="s">
        <v>87</v>
      </c>
      <c r="F636" t="s">
        <v>48</v>
      </c>
      <c r="G636" t="s">
        <v>49</v>
      </c>
      <c r="H636" t="s">
        <v>72</v>
      </c>
      <c r="I636" t="s">
        <v>73</v>
      </c>
      <c r="J636" t="s">
        <v>70</v>
      </c>
      <c r="K636" t="s">
        <v>469</v>
      </c>
      <c r="L636" t="s">
        <v>470</v>
      </c>
      <c r="M636">
        <v>111111</v>
      </c>
      <c r="N636">
        <v>15741808</v>
      </c>
      <c r="O636" t="s">
        <v>52</v>
      </c>
      <c r="P636" t="s">
        <v>474</v>
      </c>
    </row>
    <row r="637" spans="1:16" x14ac:dyDescent="0.3">
      <c r="A637" t="s">
        <v>938</v>
      </c>
      <c r="B637" t="s">
        <v>108</v>
      </c>
      <c r="C637" s="51">
        <v>46302.625</v>
      </c>
      <c r="D637" s="51">
        <v>46301.595138888886</v>
      </c>
      <c r="E637" t="s">
        <v>87</v>
      </c>
      <c r="F637" t="s">
        <v>77</v>
      </c>
      <c r="G637" t="s">
        <v>107</v>
      </c>
      <c r="H637" t="s">
        <v>109</v>
      </c>
      <c r="I637" t="s">
        <v>122</v>
      </c>
      <c r="J637" t="s">
        <v>123</v>
      </c>
      <c r="K637" t="s">
        <v>475</v>
      </c>
      <c r="L637" t="s">
        <v>473</v>
      </c>
      <c r="M637" t="s">
        <v>518</v>
      </c>
      <c r="O637" t="s">
        <v>56</v>
      </c>
      <c r="P637" t="s">
        <v>474</v>
      </c>
    </row>
    <row r="638" spans="1:16" x14ac:dyDescent="0.3">
      <c r="A638" t="s">
        <v>939</v>
      </c>
      <c r="B638" t="s">
        <v>74</v>
      </c>
      <c r="C638" s="51">
        <v>46307.938194444447</v>
      </c>
      <c r="D638" s="51">
        <v>46301.592361111114</v>
      </c>
      <c r="E638" t="s">
        <v>87</v>
      </c>
      <c r="F638" t="s">
        <v>48</v>
      </c>
      <c r="G638" t="s">
        <v>49</v>
      </c>
      <c r="H638" t="s">
        <v>75</v>
      </c>
      <c r="I638" t="s">
        <v>76</v>
      </c>
      <c r="J638" t="s">
        <v>70</v>
      </c>
      <c r="K638" t="s">
        <v>469</v>
      </c>
      <c r="L638" t="s">
        <v>470</v>
      </c>
      <c r="M638" t="s">
        <v>471</v>
      </c>
      <c r="N638">
        <v>15742596</v>
      </c>
      <c r="O638" t="s">
        <v>52</v>
      </c>
      <c r="P638" t="s">
        <v>472</v>
      </c>
    </row>
    <row r="639" spans="1:16" x14ac:dyDescent="0.3">
      <c r="A639" t="s">
        <v>940</v>
      </c>
      <c r="B639" t="s">
        <v>74</v>
      </c>
      <c r="C639" s="51">
        <v>46302.708333333336</v>
      </c>
      <c r="D639" s="51">
        <v>46301.592361111114</v>
      </c>
      <c r="E639" t="s">
        <v>87</v>
      </c>
      <c r="F639" t="s">
        <v>48</v>
      </c>
      <c r="G639" t="s">
        <v>49</v>
      </c>
      <c r="H639" t="s">
        <v>75</v>
      </c>
      <c r="I639" t="s">
        <v>76</v>
      </c>
      <c r="J639" t="s">
        <v>70</v>
      </c>
      <c r="K639" t="s">
        <v>469</v>
      </c>
      <c r="L639" t="s">
        <v>470</v>
      </c>
      <c r="M639" t="s">
        <v>471</v>
      </c>
      <c r="O639" t="s">
        <v>52</v>
      </c>
      <c r="P639" t="s">
        <v>472</v>
      </c>
    </row>
    <row r="640" spans="1:16" x14ac:dyDescent="0.3">
      <c r="A640" t="s">
        <v>941</v>
      </c>
      <c r="B640" t="s">
        <v>113</v>
      </c>
      <c r="C640" s="51">
        <v>46303.938194444447</v>
      </c>
      <c r="D640" s="51">
        <v>46301.591666666667</v>
      </c>
      <c r="E640" t="s">
        <v>87</v>
      </c>
      <c r="F640" t="s">
        <v>48</v>
      </c>
      <c r="G640" t="s">
        <v>49</v>
      </c>
      <c r="H640" t="s">
        <v>114</v>
      </c>
      <c r="I640" t="s">
        <v>115</v>
      </c>
      <c r="J640" t="s">
        <v>116</v>
      </c>
      <c r="K640" t="s">
        <v>469</v>
      </c>
      <c r="L640" t="s">
        <v>470</v>
      </c>
      <c r="M640" t="s">
        <v>471</v>
      </c>
      <c r="N640">
        <v>15742604</v>
      </c>
      <c r="O640" t="s">
        <v>52</v>
      </c>
      <c r="P640" t="s">
        <v>472</v>
      </c>
    </row>
    <row r="641" spans="1:16" x14ac:dyDescent="0.3">
      <c r="A641" t="s">
        <v>942</v>
      </c>
      <c r="B641" t="s">
        <v>74</v>
      </c>
      <c r="C641" s="51">
        <v>46304.938194444447</v>
      </c>
      <c r="D641" s="51">
        <v>46301.591666666667</v>
      </c>
      <c r="E641" t="s">
        <v>87</v>
      </c>
      <c r="F641" t="s">
        <v>48</v>
      </c>
      <c r="G641" t="s">
        <v>49</v>
      </c>
      <c r="H641" t="s">
        <v>75</v>
      </c>
      <c r="I641" t="s">
        <v>86</v>
      </c>
      <c r="J641" t="s">
        <v>70</v>
      </c>
      <c r="K641" t="s">
        <v>469</v>
      </c>
      <c r="L641" t="s">
        <v>470</v>
      </c>
      <c r="M641" t="s">
        <v>471</v>
      </c>
      <c r="N641">
        <v>15742606</v>
      </c>
      <c r="O641" t="s">
        <v>52</v>
      </c>
      <c r="P641" t="s">
        <v>472</v>
      </c>
    </row>
    <row r="642" spans="1:16" x14ac:dyDescent="0.3">
      <c r="A642" t="s">
        <v>943</v>
      </c>
      <c r="B642" t="s">
        <v>62</v>
      </c>
      <c r="C642" s="51">
        <v>46303.458333333336</v>
      </c>
      <c r="D642" s="51">
        <v>46301.591666666667</v>
      </c>
      <c r="E642" t="s">
        <v>87</v>
      </c>
      <c r="F642" t="s">
        <v>53</v>
      </c>
      <c r="G642" t="s">
        <v>54</v>
      </c>
      <c r="H642" t="s">
        <v>63</v>
      </c>
      <c r="I642" t="s">
        <v>64</v>
      </c>
      <c r="J642" t="s">
        <v>65</v>
      </c>
      <c r="K642" t="s">
        <v>481</v>
      </c>
      <c r="L642" t="s">
        <v>470</v>
      </c>
      <c r="M642" t="s">
        <v>471</v>
      </c>
      <c r="O642" t="s">
        <v>52</v>
      </c>
      <c r="P642" t="s">
        <v>472</v>
      </c>
    </row>
    <row r="643" spans="1:16" x14ac:dyDescent="0.3">
      <c r="A643" t="s">
        <v>944</v>
      </c>
      <c r="B643" t="s">
        <v>62</v>
      </c>
      <c r="C643" s="51">
        <v>46303.458333333336</v>
      </c>
      <c r="D643" s="51">
        <v>46301.591666666667</v>
      </c>
      <c r="E643" t="s">
        <v>87</v>
      </c>
      <c r="F643" t="s">
        <v>53</v>
      </c>
      <c r="G643" t="s">
        <v>54</v>
      </c>
      <c r="H643" t="s">
        <v>63</v>
      </c>
      <c r="I643" t="s">
        <v>64</v>
      </c>
      <c r="J643" t="s">
        <v>65</v>
      </c>
      <c r="K643" t="s">
        <v>481</v>
      </c>
      <c r="L643" t="s">
        <v>470</v>
      </c>
      <c r="M643" t="s">
        <v>471</v>
      </c>
      <c r="O643" t="s">
        <v>52</v>
      </c>
      <c r="P643" t="s">
        <v>472</v>
      </c>
    </row>
    <row r="644" spans="1:16" x14ac:dyDescent="0.3">
      <c r="A644" t="s">
        <v>945</v>
      </c>
      <c r="B644" t="s">
        <v>74</v>
      </c>
      <c r="C644" s="51">
        <v>46302.708333333336</v>
      </c>
      <c r="D644" s="51">
        <v>46301.591666666667</v>
      </c>
      <c r="E644" t="s">
        <v>87</v>
      </c>
      <c r="F644" t="s">
        <v>48</v>
      </c>
      <c r="G644" t="s">
        <v>49</v>
      </c>
      <c r="H644" t="s">
        <v>75</v>
      </c>
      <c r="I644" t="s">
        <v>86</v>
      </c>
      <c r="J644" t="s">
        <v>70</v>
      </c>
      <c r="K644" t="s">
        <v>469</v>
      </c>
      <c r="L644" t="s">
        <v>470</v>
      </c>
      <c r="M644" t="s">
        <v>471</v>
      </c>
      <c r="O644" t="s">
        <v>52</v>
      </c>
      <c r="P644" t="s">
        <v>472</v>
      </c>
    </row>
    <row r="645" spans="1:16" x14ac:dyDescent="0.3">
      <c r="A645" t="s">
        <v>946</v>
      </c>
      <c r="B645" t="s">
        <v>113</v>
      </c>
      <c r="C645" s="51">
        <v>46304.938194444447</v>
      </c>
      <c r="D645" s="51">
        <v>46301.591666666667</v>
      </c>
      <c r="E645" t="s">
        <v>87</v>
      </c>
      <c r="F645" t="s">
        <v>48</v>
      </c>
      <c r="G645" t="s">
        <v>49</v>
      </c>
      <c r="H645" t="s">
        <v>114</v>
      </c>
      <c r="I645" t="s">
        <v>115</v>
      </c>
      <c r="J645" t="s">
        <v>116</v>
      </c>
      <c r="K645" t="s">
        <v>469</v>
      </c>
      <c r="L645" t="s">
        <v>470</v>
      </c>
      <c r="M645" t="s">
        <v>471</v>
      </c>
      <c r="N645">
        <v>15742618</v>
      </c>
      <c r="O645" t="s">
        <v>52</v>
      </c>
      <c r="P645" t="s">
        <v>472</v>
      </c>
    </row>
    <row r="646" spans="1:16" x14ac:dyDescent="0.3">
      <c r="A646" t="s">
        <v>947</v>
      </c>
      <c r="B646" t="s">
        <v>113</v>
      </c>
      <c r="C646" s="51">
        <v>46302.708333333336</v>
      </c>
      <c r="D646" s="51">
        <v>46301.591666666667</v>
      </c>
      <c r="E646" t="s">
        <v>87</v>
      </c>
      <c r="F646" t="s">
        <v>48</v>
      </c>
      <c r="G646" t="s">
        <v>49</v>
      </c>
      <c r="H646" t="s">
        <v>114</v>
      </c>
      <c r="I646" t="s">
        <v>115</v>
      </c>
      <c r="J646" t="s">
        <v>116</v>
      </c>
      <c r="K646" t="s">
        <v>469</v>
      </c>
      <c r="L646" t="s">
        <v>470</v>
      </c>
      <c r="M646" t="s">
        <v>471</v>
      </c>
      <c r="O646" t="s">
        <v>52</v>
      </c>
      <c r="P646" t="s">
        <v>472</v>
      </c>
    </row>
    <row r="647" spans="1:16" x14ac:dyDescent="0.3">
      <c r="A647" t="s">
        <v>948</v>
      </c>
      <c r="B647" t="s">
        <v>74</v>
      </c>
      <c r="C647" s="51">
        <v>46304.938194444447</v>
      </c>
      <c r="D647" s="51">
        <v>46301.591666666667</v>
      </c>
      <c r="E647" t="s">
        <v>87</v>
      </c>
      <c r="F647" t="s">
        <v>48</v>
      </c>
      <c r="G647" t="s">
        <v>49</v>
      </c>
      <c r="H647" t="s">
        <v>75</v>
      </c>
      <c r="I647" t="s">
        <v>86</v>
      </c>
      <c r="J647" t="s">
        <v>70</v>
      </c>
      <c r="K647" t="s">
        <v>469</v>
      </c>
      <c r="L647" t="s">
        <v>470</v>
      </c>
      <c r="M647" t="s">
        <v>471</v>
      </c>
      <c r="N647">
        <v>15742624</v>
      </c>
      <c r="O647" t="s">
        <v>52</v>
      </c>
      <c r="P647" t="s">
        <v>472</v>
      </c>
    </row>
    <row r="648" spans="1:16" x14ac:dyDescent="0.3">
      <c r="A648" t="s">
        <v>949</v>
      </c>
      <c r="B648" t="s">
        <v>47</v>
      </c>
      <c r="C648" s="51">
        <v>46303.938194444447</v>
      </c>
      <c r="D648" s="51">
        <v>46301.581944444442</v>
      </c>
      <c r="E648" t="s">
        <v>87</v>
      </c>
      <c r="F648" t="s">
        <v>48</v>
      </c>
      <c r="G648" t="s">
        <v>49</v>
      </c>
      <c r="H648" t="s">
        <v>50</v>
      </c>
      <c r="I648" t="s">
        <v>92</v>
      </c>
      <c r="J648" t="s">
        <v>51</v>
      </c>
      <c r="K648" t="s">
        <v>469</v>
      </c>
      <c r="L648" t="s">
        <v>470</v>
      </c>
      <c r="M648" t="s">
        <v>471</v>
      </c>
      <c r="N648">
        <v>15742634</v>
      </c>
      <c r="O648" t="s">
        <v>52</v>
      </c>
      <c r="P648" t="s">
        <v>472</v>
      </c>
    </row>
    <row r="649" spans="1:16" x14ac:dyDescent="0.3">
      <c r="A649" t="s">
        <v>950</v>
      </c>
      <c r="B649" t="s">
        <v>47</v>
      </c>
      <c r="C649" s="51">
        <v>46302.708333333336</v>
      </c>
      <c r="D649" s="51">
        <v>46301.579861111109</v>
      </c>
      <c r="E649" t="s">
        <v>87</v>
      </c>
      <c r="F649" t="s">
        <v>48</v>
      </c>
      <c r="G649" t="s">
        <v>49</v>
      </c>
      <c r="H649" t="s">
        <v>50</v>
      </c>
      <c r="I649" t="s">
        <v>92</v>
      </c>
      <c r="J649" t="s">
        <v>51</v>
      </c>
      <c r="K649" t="s">
        <v>469</v>
      </c>
      <c r="L649" t="s">
        <v>470</v>
      </c>
      <c r="M649" t="s">
        <v>471</v>
      </c>
      <c r="O649" t="s">
        <v>52</v>
      </c>
      <c r="P649" t="s">
        <v>472</v>
      </c>
    </row>
    <row r="650" spans="1:16" x14ac:dyDescent="0.3">
      <c r="A650" t="s">
        <v>951</v>
      </c>
      <c r="B650" t="s">
        <v>47</v>
      </c>
      <c r="C650" s="51">
        <v>46302.708333333336</v>
      </c>
      <c r="D650" s="51">
        <v>46301.579861111109</v>
      </c>
      <c r="E650" t="s">
        <v>87</v>
      </c>
      <c r="F650" t="s">
        <v>48</v>
      </c>
      <c r="G650" t="s">
        <v>49</v>
      </c>
      <c r="H650" t="s">
        <v>50</v>
      </c>
      <c r="I650" t="s">
        <v>66</v>
      </c>
      <c r="J650" t="s">
        <v>51</v>
      </c>
      <c r="K650" t="s">
        <v>469</v>
      </c>
      <c r="L650" t="s">
        <v>470</v>
      </c>
      <c r="M650" t="s">
        <v>471</v>
      </c>
      <c r="O650" t="s">
        <v>52</v>
      </c>
      <c r="P650" t="s">
        <v>472</v>
      </c>
    </row>
    <row r="651" spans="1:16" x14ac:dyDescent="0.3">
      <c r="A651" t="s">
        <v>952</v>
      </c>
      <c r="B651" t="s">
        <v>47</v>
      </c>
      <c r="C651" s="51">
        <v>46302.708333333336</v>
      </c>
      <c r="D651" s="51">
        <v>46301.579861111109</v>
      </c>
      <c r="E651" t="s">
        <v>87</v>
      </c>
      <c r="F651" t="s">
        <v>48</v>
      </c>
      <c r="G651" t="s">
        <v>49</v>
      </c>
      <c r="H651" t="s">
        <v>50</v>
      </c>
      <c r="I651" t="s">
        <v>92</v>
      </c>
      <c r="J651" t="s">
        <v>51</v>
      </c>
      <c r="K651" t="s">
        <v>469</v>
      </c>
      <c r="L651" t="s">
        <v>470</v>
      </c>
      <c r="M651" t="s">
        <v>471</v>
      </c>
      <c r="O651" t="s">
        <v>52</v>
      </c>
      <c r="P651" t="s">
        <v>472</v>
      </c>
    </row>
    <row r="652" spans="1:16" x14ac:dyDescent="0.3">
      <c r="A652" t="s">
        <v>953</v>
      </c>
      <c r="B652" t="s">
        <v>74</v>
      </c>
      <c r="C652" s="51">
        <v>46303.938194444447</v>
      </c>
      <c r="D652" s="51">
        <v>46301.578472222223</v>
      </c>
      <c r="E652" t="s">
        <v>87</v>
      </c>
      <c r="F652" t="s">
        <v>48</v>
      </c>
      <c r="G652" t="s">
        <v>49</v>
      </c>
      <c r="H652" t="s">
        <v>75</v>
      </c>
      <c r="I652" t="s">
        <v>148</v>
      </c>
      <c r="J652" t="s">
        <v>70</v>
      </c>
      <c r="K652" t="s">
        <v>469</v>
      </c>
      <c r="L652" t="s">
        <v>470</v>
      </c>
      <c r="M652" t="s">
        <v>471</v>
      </c>
      <c r="N652">
        <v>15742642</v>
      </c>
      <c r="O652" t="s">
        <v>52</v>
      </c>
      <c r="P652" t="s">
        <v>472</v>
      </c>
    </row>
    <row r="653" spans="1:16" x14ac:dyDescent="0.3">
      <c r="A653" t="s">
        <v>954</v>
      </c>
      <c r="B653" t="s">
        <v>74</v>
      </c>
      <c r="C653" s="51">
        <v>46302.708333333336</v>
      </c>
      <c r="D653" s="51">
        <v>46301.578472222223</v>
      </c>
      <c r="E653" t="s">
        <v>87</v>
      </c>
      <c r="F653" t="s">
        <v>48</v>
      </c>
      <c r="G653" t="s">
        <v>49</v>
      </c>
      <c r="H653" t="s">
        <v>75</v>
      </c>
      <c r="I653" t="s">
        <v>148</v>
      </c>
      <c r="J653" t="s">
        <v>70</v>
      </c>
      <c r="K653" t="s">
        <v>469</v>
      </c>
      <c r="L653" t="s">
        <v>470</v>
      </c>
      <c r="M653" t="s">
        <v>471</v>
      </c>
      <c r="O653" t="s">
        <v>52</v>
      </c>
      <c r="P653" t="s">
        <v>472</v>
      </c>
    </row>
    <row r="654" spans="1:16" x14ac:dyDescent="0.3">
      <c r="A654" t="s">
        <v>955</v>
      </c>
      <c r="B654" t="s">
        <v>62</v>
      </c>
      <c r="C654" s="51">
        <v>46303.458333333336</v>
      </c>
      <c r="D654" s="51">
        <v>46301.578472222223</v>
      </c>
      <c r="E654" t="s">
        <v>87</v>
      </c>
      <c r="F654" t="s">
        <v>53</v>
      </c>
      <c r="G654" t="s">
        <v>54</v>
      </c>
      <c r="H654" t="s">
        <v>63</v>
      </c>
      <c r="I654" t="s">
        <v>64</v>
      </c>
      <c r="J654" t="s">
        <v>65</v>
      </c>
      <c r="K654" t="s">
        <v>481</v>
      </c>
      <c r="L654" t="s">
        <v>470</v>
      </c>
      <c r="M654" t="s">
        <v>471</v>
      </c>
      <c r="O654" t="s">
        <v>52</v>
      </c>
      <c r="P654" t="s">
        <v>472</v>
      </c>
    </row>
    <row r="655" spans="1:16" x14ac:dyDescent="0.3">
      <c r="A655" t="s">
        <v>956</v>
      </c>
      <c r="B655" t="s">
        <v>74</v>
      </c>
      <c r="C655" s="51">
        <v>46304.938194444447</v>
      </c>
      <c r="D655" s="51">
        <v>46301.578472222223</v>
      </c>
      <c r="E655" t="s">
        <v>87</v>
      </c>
      <c r="F655" t="s">
        <v>48</v>
      </c>
      <c r="G655" t="s">
        <v>49</v>
      </c>
      <c r="H655" t="s">
        <v>75</v>
      </c>
      <c r="I655" t="s">
        <v>76</v>
      </c>
      <c r="J655" t="s">
        <v>70</v>
      </c>
      <c r="K655" t="s">
        <v>469</v>
      </c>
      <c r="L655" t="s">
        <v>470</v>
      </c>
      <c r="M655" t="s">
        <v>471</v>
      </c>
      <c r="N655">
        <v>15748842</v>
      </c>
      <c r="O655" t="s">
        <v>52</v>
      </c>
      <c r="P655" t="s">
        <v>472</v>
      </c>
    </row>
    <row r="656" spans="1:16" x14ac:dyDescent="0.3">
      <c r="A656" t="s">
        <v>957</v>
      </c>
      <c r="B656" t="s">
        <v>62</v>
      </c>
      <c r="C656" s="51">
        <v>46303.458333333336</v>
      </c>
      <c r="D656" s="51">
        <v>46301.575694444444</v>
      </c>
      <c r="E656" t="s">
        <v>87</v>
      </c>
      <c r="F656" t="s">
        <v>53</v>
      </c>
      <c r="G656" t="s">
        <v>54</v>
      </c>
      <c r="H656" t="s">
        <v>63</v>
      </c>
      <c r="I656" t="s">
        <v>64</v>
      </c>
      <c r="J656" t="s">
        <v>65</v>
      </c>
      <c r="K656" t="s">
        <v>481</v>
      </c>
      <c r="L656" t="s">
        <v>470</v>
      </c>
      <c r="M656" t="s">
        <v>471</v>
      </c>
      <c r="O656" t="s">
        <v>52</v>
      </c>
      <c r="P656" t="s">
        <v>472</v>
      </c>
    </row>
    <row r="657" spans="1:16" x14ac:dyDescent="0.3">
      <c r="A657" t="s">
        <v>958</v>
      </c>
      <c r="B657" t="s">
        <v>67</v>
      </c>
      <c r="C657" s="51">
        <v>46307.938194444447</v>
      </c>
      <c r="D657" s="51">
        <v>46301.575694444444</v>
      </c>
      <c r="E657" t="s">
        <v>87</v>
      </c>
      <c r="F657" t="s">
        <v>48</v>
      </c>
      <c r="G657" t="s">
        <v>49</v>
      </c>
      <c r="H657" t="s">
        <v>68</v>
      </c>
      <c r="I657" t="s">
        <v>69</v>
      </c>
      <c r="J657" t="s">
        <v>70</v>
      </c>
      <c r="K657" t="s">
        <v>469</v>
      </c>
      <c r="L657" t="s">
        <v>470</v>
      </c>
      <c r="M657" t="s">
        <v>471</v>
      </c>
      <c r="N657">
        <v>15748640</v>
      </c>
      <c r="O657" t="s">
        <v>52</v>
      </c>
      <c r="P657" t="s">
        <v>472</v>
      </c>
    </row>
    <row r="658" spans="1:16" x14ac:dyDescent="0.3">
      <c r="A658" t="s">
        <v>959</v>
      </c>
      <c r="B658" t="s">
        <v>62</v>
      </c>
      <c r="C658" s="51">
        <v>46303.416666666664</v>
      </c>
      <c r="D658" s="51">
        <v>46301.572222222225</v>
      </c>
      <c r="E658" t="s">
        <v>87</v>
      </c>
      <c r="F658" t="s">
        <v>53</v>
      </c>
      <c r="G658" t="s">
        <v>54</v>
      </c>
      <c r="H658" t="s">
        <v>63</v>
      </c>
      <c r="I658" t="s">
        <v>64</v>
      </c>
      <c r="J658" t="s">
        <v>65</v>
      </c>
      <c r="K658" t="s">
        <v>481</v>
      </c>
      <c r="L658" t="s">
        <v>470</v>
      </c>
      <c r="M658" t="s">
        <v>471</v>
      </c>
      <c r="O658" t="s">
        <v>52</v>
      </c>
      <c r="P658" t="s">
        <v>472</v>
      </c>
    </row>
    <row r="659" spans="1:16" x14ac:dyDescent="0.3">
      <c r="A659" t="s">
        <v>960</v>
      </c>
      <c r="B659" t="s">
        <v>67</v>
      </c>
      <c r="C659" s="51">
        <v>46304.938194444447</v>
      </c>
      <c r="D659" s="51">
        <v>46301.571527777778</v>
      </c>
      <c r="E659" t="s">
        <v>87</v>
      </c>
      <c r="F659" t="s">
        <v>48</v>
      </c>
      <c r="G659" t="s">
        <v>49</v>
      </c>
      <c r="H659" t="s">
        <v>68</v>
      </c>
      <c r="I659" t="s">
        <v>69</v>
      </c>
      <c r="J659" t="s">
        <v>70</v>
      </c>
      <c r="K659" t="s">
        <v>469</v>
      </c>
      <c r="L659" t="s">
        <v>470</v>
      </c>
      <c r="M659" t="s">
        <v>471</v>
      </c>
      <c r="N659">
        <v>15749002</v>
      </c>
      <c r="O659" t="s">
        <v>52</v>
      </c>
      <c r="P659" t="s">
        <v>472</v>
      </c>
    </row>
    <row r="660" spans="1:16" x14ac:dyDescent="0.3">
      <c r="A660" t="s">
        <v>961</v>
      </c>
      <c r="B660" t="s">
        <v>62</v>
      </c>
      <c r="C660" s="51">
        <v>46303.416666666664</v>
      </c>
      <c r="D660" s="51">
        <v>46301.566666666666</v>
      </c>
      <c r="E660" t="s">
        <v>87</v>
      </c>
      <c r="F660" t="s">
        <v>53</v>
      </c>
      <c r="G660" t="s">
        <v>54</v>
      </c>
      <c r="H660" t="s">
        <v>63</v>
      </c>
      <c r="I660" t="s">
        <v>64</v>
      </c>
      <c r="J660" t="s">
        <v>65</v>
      </c>
      <c r="K660" t="s">
        <v>481</v>
      </c>
      <c r="L660" t="s">
        <v>470</v>
      </c>
      <c r="M660" t="s">
        <v>471</v>
      </c>
      <c r="O660" t="s">
        <v>52</v>
      </c>
      <c r="P660" t="s">
        <v>472</v>
      </c>
    </row>
    <row r="661" spans="1:16" x14ac:dyDescent="0.3">
      <c r="A661" t="s">
        <v>962</v>
      </c>
      <c r="B661" t="s">
        <v>131</v>
      </c>
      <c r="C661" s="51">
        <v>46302.791666666664</v>
      </c>
      <c r="D661" s="51">
        <v>46301.563888888886</v>
      </c>
      <c r="E661" t="s">
        <v>87</v>
      </c>
      <c r="F661" t="s">
        <v>77</v>
      </c>
      <c r="G661" t="s">
        <v>132</v>
      </c>
      <c r="H661" t="s">
        <v>132</v>
      </c>
      <c r="I661" t="s">
        <v>84</v>
      </c>
      <c r="J661" t="s">
        <v>55</v>
      </c>
      <c r="K661" t="s">
        <v>487</v>
      </c>
      <c r="L661" t="s">
        <v>473</v>
      </c>
      <c r="M661" t="s">
        <v>478</v>
      </c>
      <c r="O661" t="s">
        <v>56</v>
      </c>
      <c r="P661" t="s">
        <v>474</v>
      </c>
    </row>
    <row r="662" spans="1:16" x14ac:dyDescent="0.3">
      <c r="A662" t="s">
        <v>963</v>
      </c>
      <c r="B662" t="s">
        <v>62</v>
      </c>
      <c r="C662" s="51">
        <v>46303.416666666664</v>
      </c>
      <c r="D662" s="51">
        <v>46301.518750000003</v>
      </c>
      <c r="E662" t="s">
        <v>87</v>
      </c>
      <c r="F662" t="s">
        <v>53</v>
      </c>
      <c r="G662" t="s">
        <v>54</v>
      </c>
      <c r="H662" t="s">
        <v>63</v>
      </c>
      <c r="I662" t="s">
        <v>64</v>
      </c>
      <c r="J662" t="s">
        <v>65</v>
      </c>
      <c r="K662" t="s">
        <v>481</v>
      </c>
      <c r="L662" t="s">
        <v>470</v>
      </c>
      <c r="M662" t="s">
        <v>471</v>
      </c>
      <c r="O662" t="s">
        <v>52</v>
      </c>
      <c r="P662" t="s">
        <v>472</v>
      </c>
    </row>
    <row r="663" spans="1:16" x14ac:dyDescent="0.3">
      <c r="A663" t="s">
        <v>964</v>
      </c>
      <c r="B663" t="s">
        <v>74</v>
      </c>
      <c r="C663" s="51">
        <v>46304.938194444447</v>
      </c>
      <c r="D663" s="51">
        <v>46301.518750000003</v>
      </c>
      <c r="E663" t="s">
        <v>87</v>
      </c>
      <c r="F663" t="s">
        <v>48</v>
      </c>
      <c r="G663" t="s">
        <v>49</v>
      </c>
      <c r="H663" t="s">
        <v>75</v>
      </c>
      <c r="I663" t="s">
        <v>76</v>
      </c>
      <c r="J663" t="s">
        <v>70</v>
      </c>
      <c r="K663" t="s">
        <v>469</v>
      </c>
      <c r="L663" t="s">
        <v>470</v>
      </c>
      <c r="M663" t="s">
        <v>471</v>
      </c>
      <c r="N663">
        <v>15748594</v>
      </c>
      <c r="O663" t="s">
        <v>52</v>
      </c>
      <c r="P663" t="s">
        <v>472</v>
      </c>
    </row>
    <row r="664" spans="1:16" x14ac:dyDescent="0.3">
      <c r="A664" t="s">
        <v>965</v>
      </c>
      <c r="B664" t="s">
        <v>108</v>
      </c>
      <c r="C664" s="51">
        <v>46302.541666666664</v>
      </c>
      <c r="D664" s="51">
        <v>46301.515972222223</v>
      </c>
      <c r="E664" t="s">
        <v>87</v>
      </c>
      <c r="F664" t="s">
        <v>77</v>
      </c>
      <c r="G664" t="s">
        <v>107</v>
      </c>
      <c r="H664" t="s">
        <v>109</v>
      </c>
      <c r="I664" t="s">
        <v>122</v>
      </c>
      <c r="J664" t="s">
        <v>123</v>
      </c>
      <c r="K664" t="s">
        <v>475</v>
      </c>
      <c r="L664" t="s">
        <v>473</v>
      </c>
      <c r="M664" t="s">
        <v>493</v>
      </c>
      <c r="O664" t="s">
        <v>56</v>
      </c>
      <c r="P664" t="s">
        <v>474</v>
      </c>
    </row>
    <row r="665" spans="1:16" x14ac:dyDescent="0.3">
      <c r="A665" t="s">
        <v>966</v>
      </c>
      <c r="B665" t="s">
        <v>62</v>
      </c>
      <c r="C665" s="51">
        <v>46303.416666666664</v>
      </c>
      <c r="D665" s="51">
        <v>46301.488888888889</v>
      </c>
      <c r="E665" t="s">
        <v>87</v>
      </c>
      <c r="F665" t="s">
        <v>53</v>
      </c>
      <c r="G665" t="s">
        <v>54</v>
      </c>
      <c r="H665" t="s">
        <v>63</v>
      </c>
      <c r="I665" t="s">
        <v>64</v>
      </c>
      <c r="J665" t="s">
        <v>65</v>
      </c>
      <c r="K665" t="s">
        <v>481</v>
      </c>
      <c r="L665" t="s">
        <v>470</v>
      </c>
      <c r="M665" t="s">
        <v>471</v>
      </c>
      <c r="O665" t="s">
        <v>52</v>
      </c>
      <c r="P665" t="s">
        <v>472</v>
      </c>
    </row>
    <row r="666" spans="1:16" x14ac:dyDescent="0.3">
      <c r="A666" t="s">
        <v>967</v>
      </c>
      <c r="B666" t="s">
        <v>62</v>
      </c>
      <c r="C666" s="51">
        <v>46303.416666666664</v>
      </c>
      <c r="D666" s="51">
        <v>46301.488888888889</v>
      </c>
      <c r="E666" t="s">
        <v>87</v>
      </c>
      <c r="F666" t="s">
        <v>53</v>
      </c>
      <c r="G666" t="s">
        <v>54</v>
      </c>
      <c r="H666" t="s">
        <v>63</v>
      </c>
      <c r="I666" t="s">
        <v>64</v>
      </c>
      <c r="J666" t="s">
        <v>65</v>
      </c>
      <c r="K666" t="s">
        <v>481</v>
      </c>
      <c r="L666" t="s">
        <v>470</v>
      </c>
      <c r="M666" t="s">
        <v>471</v>
      </c>
      <c r="O666" t="s">
        <v>52</v>
      </c>
      <c r="P666" t="s">
        <v>472</v>
      </c>
    </row>
    <row r="667" spans="1:16" x14ac:dyDescent="0.3">
      <c r="A667" t="s">
        <v>968</v>
      </c>
      <c r="B667" t="s">
        <v>62</v>
      </c>
      <c r="C667" s="51">
        <v>46303.416666666664</v>
      </c>
      <c r="D667" s="51">
        <v>46301.488194444442</v>
      </c>
      <c r="E667" t="s">
        <v>87</v>
      </c>
      <c r="F667" t="s">
        <v>53</v>
      </c>
      <c r="G667" t="s">
        <v>54</v>
      </c>
      <c r="H667" t="s">
        <v>63</v>
      </c>
      <c r="I667" t="s">
        <v>64</v>
      </c>
      <c r="J667" t="s">
        <v>65</v>
      </c>
      <c r="K667" t="s">
        <v>481</v>
      </c>
      <c r="L667" t="s">
        <v>470</v>
      </c>
      <c r="M667" t="s">
        <v>471</v>
      </c>
      <c r="O667" t="s">
        <v>52</v>
      </c>
      <c r="P667" t="s">
        <v>472</v>
      </c>
    </row>
    <row r="668" spans="1:16" x14ac:dyDescent="0.3">
      <c r="A668" t="s">
        <v>969</v>
      </c>
      <c r="B668" t="s">
        <v>74</v>
      </c>
      <c r="C668" s="51">
        <v>46303.938194444447</v>
      </c>
      <c r="D668" s="51">
        <v>46301.488194444442</v>
      </c>
      <c r="E668" t="s">
        <v>87</v>
      </c>
      <c r="F668" t="s">
        <v>48</v>
      </c>
      <c r="G668" t="s">
        <v>49</v>
      </c>
      <c r="H668" t="s">
        <v>75</v>
      </c>
      <c r="I668" t="s">
        <v>76</v>
      </c>
      <c r="J668" t="s">
        <v>70</v>
      </c>
      <c r="K668" t="s">
        <v>469</v>
      </c>
      <c r="L668" t="s">
        <v>470</v>
      </c>
      <c r="M668" t="s">
        <v>471</v>
      </c>
      <c r="N668">
        <v>15748270</v>
      </c>
      <c r="O668" t="s">
        <v>52</v>
      </c>
      <c r="P668" t="s">
        <v>472</v>
      </c>
    </row>
    <row r="669" spans="1:16" x14ac:dyDescent="0.3">
      <c r="A669" t="s">
        <v>970</v>
      </c>
      <c r="B669" t="s">
        <v>67</v>
      </c>
      <c r="C669" s="51">
        <v>46303.938194444447</v>
      </c>
      <c r="D669" s="51">
        <v>46301.488194444442</v>
      </c>
      <c r="E669" t="s">
        <v>87</v>
      </c>
      <c r="F669" t="s">
        <v>48</v>
      </c>
      <c r="G669" t="s">
        <v>49</v>
      </c>
      <c r="H669" t="s">
        <v>68</v>
      </c>
      <c r="I669" t="s">
        <v>69</v>
      </c>
      <c r="J669" t="s">
        <v>70</v>
      </c>
      <c r="K669" t="s">
        <v>469</v>
      </c>
      <c r="L669" t="s">
        <v>470</v>
      </c>
      <c r="M669" t="s">
        <v>471</v>
      </c>
      <c r="N669">
        <v>15748242</v>
      </c>
      <c r="O669" t="s">
        <v>52</v>
      </c>
      <c r="P669" t="s">
        <v>472</v>
      </c>
    </row>
    <row r="670" spans="1:16" x14ac:dyDescent="0.3">
      <c r="A670" t="s">
        <v>971</v>
      </c>
      <c r="B670" t="s">
        <v>71</v>
      </c>
      <c r="C670" s="51">
        <v>46303.938194444447</v>
      </c>
      <c r="D670" s="51">
        <v>46301.488194444442</v>
      </c>
      <c r="E670" t="s">
        <v>87</v>
      </c>
      <c r="F670" t="s">
        <v>48</v>
      </c>
      <c r="G670" t="s">
        <v>49</v>
      </c>
      <c r="H670" t="s">
        <v>72</v>
      </c>
      <c r="I670" t="s">
        <v>73</v>
      </c>
      <c r="J670" t="s">
        <v>70</v>
      </c>
      <c r="K670" t="s">
        <v>469</v>
      </c>
      <c r="L670" t="s">
        <v>470</v>
      </c>
      <c r="M670" t="s">
        <v>471</v>
      </c>
      <c r="N670">
        <v>15748074</v>
      </c>
      <c r="O670" t="s">
        <v>52</v>
      </c>
      <c r="P670" t="s">
        <v>472</v>
      </c>
    </row>
    <row r="671" spans="1:16" x14ac:dyDescent="0.3">
      <c r="A671" t="s">
        <v>972</v>
      </c>
      <c r="B671" t="s">
        <v>62</v>
      </c>
      <c r="C671" s="51">
        <v>46303.375</v>
      </c>
      <c r="D671" s="51">
        <v>46301.473611111112</v>
      </c>
      <c r="E671" t="s">
        <v>87</v>
      </c>
      <c r="F671" t="s">
        <v>53</v>
      </c>
      <c r="G671" t="s">
        <v>54</v>
      </c>
      <c r="H671" t="s">
        <v>63</v>
      </c>
      <c r="I671" t="s">
        <v>64</v>
      </c>
      <c r="J671" t="s">
        <v>65</v>
      </c>
      <c r="K671" t="s">
        <v>481</v>
      </c>
      <c r="L671" t="s">
        <v>470</v>
      </c>
      <c r="M671" t="s">
        <v>471</v>
      </c>
      <c r="O671" t="s">
        <v>52</v>
      </c>
      <c r="P671" t="s">
        <v>472</v>
      </c>
    </row>
    <row r="672" spans="1:16" x14ac:dyDescent="0.3">
      <c r="A672" t="s">
        <v>973</v>
      </c>
      <c r="B672" t="s">
        <v>155</v>
      </c>
      <c r="C672" s="51">
        <v>46304.938194444447</v>
      </c>
      <c r="D672" s="51">
        <v>46301.473611111112</v>
      </c>
      <c r="E672" t="s">
        <v>87</v>
      </c>
      <c r="F672" t="s">
        <v>53</v>
      </c>
      <c r="G672" t="s">
        <v>85</v>
      </c>
      <c r="H672" t="s">
        <v>156</v>
      </c>
      <c r="I672" t="s">
        <v>157</v>
      </c>
      <c r="J672" t="s">
        <v>70</v>
      </c>
      <c r="K672" t="s">
        <v>469</v>
      </c>
      <c r="L672" t="s">
        <v>470</v>
      </c>
      <c r="M672" t="s">
        <v>471</v>
      </c>
      <c r="N672">
        <v>15747956</v>
      </c>
      <c r="O672" t="s">
        <v>52</v>
      </c>
      <c r="P672" t="s">
        <v>472</v>
      </c>
    </row>
    <row r="673" spans="1:16" x14ac:dyDescent="0.3">
      <c r="A673" t="s">
        <v>974</v>
      </c>
      <c r="B673" t="s">
        <v>62</v>
      </c>
      <c r="C673" s="51">
        <v>46303.375</v>
      </c>
      <c r="D673" s="51">
        <v>46301.470138888886</v>
      </c>
      <c r="E673" t="s">
        <v>87</v>
      </c>
      <c r="F673" t="s">
        <v>53</v>
      </c>
      <c r="G673" t="s">
        <v>54</v>
      </c>
      <c r="H673" t="s">
        <v>63</v>
      </c>
      <c r="I673" t="s">
        <v>64</v>
      </c>
      <c r="J673" t="s">
        <v>65</v>
      </c>
      <c r="K673" t="s">
        <v>481</v>
      </c>
      <c r="L673" t="s">
        <v>470</v>
      </c>
      <c r="M673" t="s">
        <v>471</v>
      </c>
      <c r="O673" t="s">
        <v>52</v>
      </c>
      <c r="P673" t="s">
        <v>472</v>
      </c>
    </row>
    <row r="674" spans="1:16" x14ac:dyDescent="0.3">
      <c r="A674" t="s">
        <v>975</v>
      </c>
      <c r="B674" t="s">
        <v>47</v>
      </c>
      <c r="C674" s="51">
        <v>46303.375</v>
      </c>
      <c r="D674" s="51">
        <v>46301.470138888886</v>
      </c>
      <c r="E674" t="s">
        <v>87</v>
      </c>
      <c r="F674" t="s">
        <v>48</v>
      </c>
      <c r="G674" t="s">
        <v>49</v>
      </c>
      <c r="H674" t="s">
        <v>50</v>
      </c>
      <c r="I674" t="s">
        <v>66</v>
      </c>
      <c r="J674" t="s">
        <v>51</v>
      </c>
      <c r="K674" t="s">
        <v>469</v>
      </c>
      <c r="L674" t="s">
        <v>470</v>
      </c>
      <c r="M674" t="s">
        <v>471</v>
      </c>
      <c r="O674" t="s">
        <v>52</v>
      </c>
      <c r="P674" t="s">
        <v>472</v>
      </c>
    </row>
    <row r="675" spans="1:16" x14ac:dyDescent="0.3">
      <c r="A675" t="s">
        <v>976</v>
      </c>
      <c r="B675" t="s">
        <v>155</v>
      </c>
      <c r="C675" s="51">
        <v>46304.938194444447</v>
      </c>
      <c r="D675" s="51">
        <v>46301.468055555553</v>
      </c>
      <c r="E675" t="s">
        <v>87</v>
      </c>
      <c r="F675" t="s">
        <v>53</v>
      </c>
      <c r="G675" t="s">
        <v>85</v>
      </c>
      <c r="H675" t="s">
        <v>156</v>
      </c>
      <c r="I675" t="s">
        <v>157</v>
      </c>
      <c r="J675" t="s">
        <v>70</v>
      </c>
      <c r="K675" t="s">
        <v>469</v>
      </c>
      <c r="L675" t="s">
        <v>470</v>
      </c>
      <c r="M675" t="s">
        <v>485</v>
      </c>
      <c r="N675">
        <v>15748022</v>
      </c>
      <c r="O675" t="s">
        <v>52</v>
      </c>
      <c r="P675" t="s">
        <v>472</v>
      </c>
    </row>
    <row r="676" spans="1:16" x14ac:dyDescent="0.3">
      <c r="A676" t="s">
        <v>977</v>
      </c>
      <c r="B676" t="s">
        <v>62</v>
      </c>
      <c r="C676" s="51">
        <v>46303.375</v>
      </c>
      <c r="D676" s="51">
        <v>46301.457638888889</v>
      </c>
      <c r="E676" t="s">
        <v>87</v>
      </c>
      <c r="F676" t="s">
        <v>53</v>
      </c>
      <c r="G676" t="s">
        <v>54</v>
      </c>
      <c r="H676" t="s">
        <v>63</v>
      </c>
      <c r="I676" t="s">
        <v>64</v>
      </c>
      <c r="J676" t="s">
        <v>65</v>
      </c>
      <c r="K676" t="s">
        <v>481</v>
      </c>
      <c r="L676" t="s">
        <v>470</v>
      </c>
      <c r="M676" t="s">
        <v>471</v>
      </c>
      <c r="O676" t="s">
        <v>52</v>
      </c>
      <c r="P676" t="s">
        <v>472</v>
      </c>
    </row>
    <row r="677" spans="1:16" x14ac:dyDescent="0.3">
      <c r="A677" t="s">
        <v>978</v>
      </c>
      <c r="B677" t="s">
        <v>62</v>
      </c>
      <c r="C677" s="51">
        <v>46303.333333333336</v>
      </c>
      <c r="D677" s="51">
        <v>46301.456944444442</v>
      </c>
      <c r="E677" t="s">
        <v>87</v>
      </c>
      <c r="F677" t="s">
        <v>53</v>
      </c>
      <c r="G677" t="s">
        <v>54</v>
      </c>
      <c r="H677" t="s">
        <v>63</v>
      </c>
      <c r="I677" t="s">
        <v>64</v>
      </c>
      <c r="J677" t="s">
        <v>65</v>
      </c>
      <c r="K677" t="s">
        <v>481</v>
      </c>
      <c r="L677" t="s">
        <v>470</v>
      </c>
      <c r="M677" t="s">
        <v>471</v>
      </c>
      <c r="O677" t="s">
        <v>52</v>
      </c>
      <c r="P677" t="s">
        <v>472</v>
      </c>
    </row>
    <row r="678" spans="1:16" x14ac:dyDescent="0.3">
      <c r="A678" t="s">
        <v>979</v>
      </c>
      <c r="B678" t="s">
        <v>62</v>
      </c>
      <c r="C678" s="51">
        <v>46303.333333333336</v>
      </c>
      <c r="D678" s="51">
        <v>46301.456944444442</v>
      </c>
      <c r="E678" t="s">
        <v>87</v>
      </c>
      <c r="F678" t="s">
        <v>53</v>
      </c>
      <c r="G678" t="s">
        <v>54</v>
      </c>
      <c r="H678" t="s">
        <v>63</v>
      </c>
      <c r="I678" t="s">
        <v>64</v>
      </c>
      <c r="J678" t="s">
        <v>65</v>
      </c>
      <c r="K678" t="s">
        <v>481</v>
      </c>
      <c r="L678" t="s">
        <v>470</v>
      </c>
      <c r="M678" t="s">
        <v>471</v>
      </c>
      <c r="O678" t="s">
        <v>52</v>
      </c>
      <c r="P678" t="s">
        <v>472</v>
      </c>
    </row>
    <row r="679" spans="1:16" x14ac:dyDescent="0.3">
      <c r="A679" t="s">
        <v>980</v>
      </c>
      <c r="B679" t="s">
        <v>67</v>
      </c>
      <c r="C679" s="51">
        <v>46303.375</v>
      </c>
      <c r="D679" s="51">
        <v>46301.456944444442</v>
      </c>
      <c r="E679" t="s">
        <v>87</v>
      </c>
      <c r="F679" t="s">
        <v>48</v>
      </c>
      <c r="G679" t="s">
        <v>49</v>
      </c>
      <c r="H679" t="s">
        <v>68</v>
      </c>
      <c r="I679" t="s">
        <v>69</v>
      </c>
      <c r="J679" t="s">
        <v>70</v>
      </c>
      <c r="K679" t="s">
        <v>469</v>
      </c>
      <c r="L679" t="s">
        <v>470</v>
      </c>
      <c r="M679" t="s">
        <v>471</v>
      </c>
      <c r="O679" t="s">
        <v>52</v>
      </c>
      <c r="P679" t="s">
        <v>472</v>
      </c>
    </row>
    <row r="680" spans="1:16" x14ac:dyDescent="0.3">
      <c r="A680" t="s">
        <v>981</v>
      </c>
      <c r="B680" t="s">
        <v>62</v>
      </c>
      <c r="C680" s="51">
        <v>46303.333333333336</v>
      </c>
      <c r="D680" s="51">
        <v>46301.455555555556</v>
      </c>
      <c r="E680" t="s">
        <v>87</v>
      </c>
      <c r="F680" t="s">
        <v>53</v>
      </c>
      <c r="G680" t="s">
        <v>54</v>
      </c>
      <c r="H680" t="s">
        <v>63</v>
      </c>
      <c r="I680" t="s">
        <v>64</v>
      </c>
      <c r="J680" t="s">
        <v>65</v>
      </c>
      <c r="K680" t="s">
        <v>481</v>
      </c>
      <c r="L680" t="s">
        <v>470</v>
      </c>
      <c r="M680" t="s">
        <v>471</v>
      </c>
      <c r="O680" t="s">
        <v>52</v>
      </c>
      <c r="P680" t="s">
        <v>472</v>
      </c>
    </row>
    <row r="681" spans="1:16" x14ac:dyDescent="0.3">
      <c r="A681" t="s">
        <v>982</v>
      </c>
      <c r="B681" t="s">
        <v>155</v>
      </c>
      <c r="C681" s="51">
        <v>46304.938194444447</v>
      </c>
      <c r="D681" s="51">
        <v>46301.455555555556</v>
      </c>
      <c r="E681" t="s">
        <v>87</v>
      </c>
      <c r="F681" t="s">
        <v>53</v>
      </c>
      <c r="G681" t="s">
        <v>85</v>
      </c>
      <c r="H681" t="s">
        <v>156</v>
      </c>
      <c r="I681" t="s">
        <v>157</v>
      </c>
      <c r="J681" t="s">
        <v>70</v>
      </c>
      <c r="K681" t="s">
        <v>469</v>
      </c>
      <c r="L681" t="s">
        <v>470</v>
      </c>
      <c r="M681" t="s">
        <v>471</v>
      </c>
      <c r="N681">
        <v>15747940</v>
      </c>
      <c r="O681" t="s">
        <v>52</v>
      </c>
      <c r="P681" t="s">
        <v>472</v>
      </c>
    </row>
    <row r="682" spans="1:16" x14ac:dyDescent="0.3">
      <c r="A682" t="s">
        <v>983</v>
      </c>
      <c r="B682" t="s">
        <v>57</v>
      </c>
      <c r="C682" s="51">
        <v>46302.491666666669</v>
      </c>
      <c r="D682" s="51">
        <v>46301.436111111114</v>
      </c>
      <c r="E682" t="s">
        <v>87</v>
      </c>
      <c r="F682" t="s">
        <v>58</v>
      </c>
      <c r="G682" t="s">
        <v>59</v>
      </c>
      <c r="H682" t="s">
        <v>60</v>
      </c>
      <c r="I682" t="s">
        <v>61</v>
      </c>
      <c r="J682" t="s">
        <v>55</v>
      </c>
      <c r="K682" t="s">
        <v>486</v>
      </c>
      <c r="L682" t="s">
        <v>473</v>
      </c>
      <c r="M682" t="s">
        <v>480</v>
      </c>
      <c r="O682" t="s">
        <v>56</v>
      </c>
      <c r="P682" t="s">
        <v>474</v>
      </c>
    </row>
    <row r="683" spans="1:16" x14ac:dyDescent="0.3">
      <c r="A683" t="s">
        <v>984</v>
      </c>
      <c r="B683" t="s">
        <v>62</v>
      </c>
      <c r="C683" s="51">
        <v>46303.333333333336</v>
      </c>
      <c r="D683" s="51">
        <v>46301.424305555556</v>
      </c>
      <c r="E683" t="s">
        <v>87</v>
      </c>
      <c r="F683" t="s">
        <v>53</v>
      </c>
      <c r="G683" t="s">
        <v>54</v>
      </c>
      <c r="H683" t="s">
        <v>63</v>
      </c>
      <c r="I683" t="s">
        <v>64</v>
      </c>
      <c r="J683" t="s">
        <v>65</v>
      </c>
      <c r="K683" t="s">
        <v>481</v>
      </c>
      <c r="L683" t="s">
        <v>470</v>
      </c>
      <c r="M683" t="s">
        <v>471</v>
      </c>
      <c r="O683" t="s">
        <v>52</v>
      </c>
      <c r="P683" t="s">
        <v>472</v>
      </c>
    </row>
    <row r="684" spans="1:16" x14ac:dyDescent="0.3">
      <c r="A684" t="s">
        <v>985</v>
      </c>
      <c r="B684" t="s">
        <v>62</v>
      </c>
      <c r="C684" s="51">
        <v>46303.333333333336</v>
      </c>
      <c r="D684" s="51">
        <v>46301.424305555556</v>
      </c>
      <c r="E684" t="s">
        <v>87</v>
      </c>
      <c r="F684" t="s">
        <v>53</v>
      </c>
      <c r="G684" t="s">
        <v>54</v>
      </c>
      <c r="H684" t="s">
        <v>63</v>
      </c>
      <c r="I684" t="s">
        <v>64</v>
      </c>
      <c r="J684" t="s">
        <v>65</v>
      </c>
      <c r="K684" t="s">
        <v>481</v>
      </c>
      <c r="L684" t="s">
        <v>470</v>
      </c>
      <c r="M684" t="s">
        <v>471</v>
      </c>
      <c r="O684" t="s">
        <v>52</v>
      </c>
      <c r="P684" t="s">
        <v>472</v>
      </c>
    </row>
    <row r="685" spans="1:16" x14ac:dyDescent="0.3">
      <c r="A685" t="s">
        <v>986</v>
      </c>
      <c r="B685" t="s">
        <v>62</v>
      </c>
      <c r="C685" s="51">
        <v>46303.333333333336</v>
      </c>
      <c r="D685" s="51">
        <v>46301.422222222223</v>
      </c>
      <c r="E685" t="s">
        <v>87</v>
      </c>
      <c r="F685" t="s">
        <v>53</v>
      </c>
      <c r="G685" t="s">
        <v>54</v>
      </c>
      <c r="H685" t="s">
        <v>63</v>
      </c>
      <c r="I685" t="s">
        <v>64</v>
      </c>
      <c r="J685" t="s">
        <v>65</v>
      </c>
      <c r="K685" t="s">
        <v>481</v>
      </c>
      <c r="L685" t="s">
        <v>470</v>
      </c>
      <c r="M685" t="s">
        <v>471</v>
      </c>
      <c r="O685" t="s">
        <v>52</v>
      </c>
      <c r="P685" t="s">
        <v>472</v>
      </c>
    </row>
    <row r="686" spans="1:16" x14ac:dyDescent="0.3">
      <c r="A686" t="s">
        <v>987</v>
      </c>
      <c r="B686" t="s">
        <v>74</v>
      </c>
      <c r="C686" s="51">
        <v>46304.938194444447</v>
      </c>
      <c r="D686" s="51">
        <v>46301.422222222223</v>
      </c>
      <c r="E686" t="s">
        <v>87</v>
      </c>
      <c r="F686" t="s">
        <v>48</v>
      </c>
      <c r="G686" t="s">
        <v>49</v>
      </c>
      <c r="H686" t="s">
        <v>75</v>
      </c>
      <c r="I686" t="s">
        <v>76</v>
      </c>
      <c r="J686" t="s">
        <v>70</v>
      </c>
      <c r="K686" t="s">
        <v>469</v>
      </c>
      <c r="L686" t="s">
        <v>470</v>
      </c>
      <c r="M686" t="s">
        <v>471</v>
      </c>
      <c r="N686">
        <v>15747400</v>
      </c>
      <c r="O686" t="s">
        <v>52</v>
      </c>
      <c r="P686" t="s">
        <v>472</v>
      </c>
    </row>
    <row r="687" spans="1:16" x14ac:dyDescent="0.3">
      <c r="A687" t="s">
        <v>988</v>
      </c>
      <c r="B687" t="s">
        <v>62</v>
      </c>
      <c r="C687" s="51">
        <v>46303.333333333336</v>
      </c>
      <c r="D687" s="51">
        <v>46301.414583333331</v>
      </c>
      <c r="E687" t="s">
        <v>87</v>
      </c>
      <c r="F687" t="s">
        <v>53</v>
      </c>
      <c r="G687" t="s">
        <v>54</v>
      </c>
      <c r="H687" t="s">
        <v>63</v>
      </c>
      <c r="I687" t="s">
        <v>64</v>
      </c>
      <c r="J687" t="s">
        <v>65</v>
      </c>
      <c r="K687" t="s">
        <v>481</v>
      </c>
      <c r="L687" t="s">
        <v>470</v>
      </c>
      <c r="M687" t="s">
        <v>471</v>
      </c>
      <c r="O687" t="s">
        <v>52</v>
      </c>
      <c r="P687" t="s">
        <v>472</v>
      </c>
    </row>
    <row r="688" spans="1:16" x14ac:dyDescent="0.3">
      <c r="A688" t="s">
        <v>989</v>
      </c>
      <c r="B688" t="s">
        <v>67</v>
      </c>
      <c r="C688" s="51">
        <v>46303.938194444447</v>
      </c>
      <c r="D688" s="51">
        <v>46301.414583333331</v>
      </c>
      <c r="E688" t="s">
        <v>87</v>
      </c>
      <c r="F688" t="s">
        <v>48</v>
      </c>
      <c r="G688" t="s">
        <v>49</v>
      </c>
      <c r="H688" t="s">
        <v>68</v>
      </c>
      <c r="I688" t="s">
        <v>69</v>
      </c>
      <c r="J688" t="s">
        <v>70</v>
      </c>
      <c r="K688" t="s">
        <v>469</v>
      </c>
      <c r="L688" t="s">
        <v>470</v>
      </c>
      <c r="M688" t="s">
        <v>471</v>
      </c>
      <c r="N688">
        <v>15747598</v>
      </c>
      <c r="O688" t="s">
        <v>52</v>
      </c>
      <c r="P688" t="s">
        <v>472</v>
      </c>
    </row>
    <row r="689" spans="1:16" x14ac:dyDescent="0.3">
      <c r="A689" t="s">
        <v>990</v>
      </c>
      <c r="B689" t="s">
        <v>62</v>
      </c>
      <c r="C689" s="51">
        <v>46303.333333333336</v>
      </c>
      <c r="D689" s="51">
        <v>46301.378472222219</v>
      </c>
      <c r="E689" t="s">
        <v>87</v>
      </c>
      <c r="F689" t="s">
        <v>53</v>
      </c>
      <c r="G689" t="s">
        <v>54</v>
      </c>
      <c r="H689" t="s">
        <v>63</v>
      </c>
      <c r="I689" t="s">
        <v>64</v>
      </c>
      <c r="J689" t="s">
        <v>65</v>
      </c>
      <c r="K689" t="s">
        <v>481</v>
      </c>
      <c r="L689" t="s">
        <v>470</v>
      </c>
      <c r="M689" t="s">
        <v>471</v>
      </c>
      <c r="O689" t="s">
        <v>52</v>
      </c>
      <c r="P689" t="s">
        <v>472</v>
      </c>
    </row>
    <row r="690" spans="1:16" x14ac:dyDescent="0.3">
      <c r="A690" t="s">
        <v>991</v>
      </c>
      <c r="B690" t="s">
        <v>62</v>
      </c>
      <c r="C690" s="51">
        <v>46303.333333333336</v>
      </c>
      <c r="D690" s="51">
        <v>46301.37777777778</v>
      </c>
      <c r="E690" t="s">
        <v>87</v>
      </c>
      <c r="F690" t="s">
        <v>53</v>
      </c>
      <c r="G690" t="s">
        <v>54</v>
      </c>
      <c r="H690" t="s">
        <v>63</v>
      </c>
      <c r="I690" t="s">
        <v>64</v>
      </c>
      <c r="J690" t="s">
        <v>65</v>
      </c>
      <c r="K690" t="s">
        <v>481</v>
      </c>
      <c r="L690" t="s">
        <v>470</v>
      </c>
      <c r="M690" t="s">
        <v>471</v>
      </c>
      <c r="O690" t="s">
        <v>52</v>
      </c>
      <c r="P690" t="s">
        <v>472</v>
      </c>
    </row>
    <row r="691" spans="1:16" x14ac:dyDescent="0.3">
      <c r="A691" t="s">
        <v>992</v>
      </c>
      <c r="B691" t="s">
        <v>62</v>
      </c>
      <c r="C691" s="51">
        <v>46303.333333333336</v>
      </c>
      <c r="D691" s="51">
        <v>46301.37777777778</v>
      </c>
      <c r="E691" t="s">
        <v>87</v>
      </c>
      <c r="F691" t="s">
        <v>53</v>
      </c>
      <c r="G691" t="s">
        <v>54</v>
      </c>
      <c r="H691" t="s">
        <v>63</v>
      </c>
      <c r="I691" t="s">
        <v>64</v>
      </c>
      <c r="J691" t="s">
        <v>65</v>
      </c>
      <c r="K691" t="s">
        <v>481</v>
      </c>
      <c r="L691" t="s">
        <v>470</v>
      </c>
      <c r="M691" t="s">
        <v>471</v>
      </c>
      <c r="O691" t="s">
        <v>52</v>
      </c>
      <c r="P691" t="s">
        <v>472</v>
      </c>
    </row>
    <row r="692" spans="1:16" x14ac:dyDescent="0.3">
      <c r="A692" t="s">
        <v>993</v>
      </c>
      <c r="B692" t="s">
        <v>67</v>
      </c>
      <c r="C692" s="51">
        <v>46304.938194444447</v>
      </c>
      <c r="D692" s="51">
        <v>46301.37777777778</v>
      </c>
      <c r="E692" t="s">
        <v>87</v>
      </c>
      <c r="F692" t="s">
        <v>48</v>
      </c>
      <c r="G692" t="s">
        <v>49</v>
      </c>
      <c r="H692" t="s">
        <v>68</v>
      </c>
      <c r="I692" t="s">
        <v>69</v>
      </c>
      <c r="J692" t="s">
        <v>70</v>
      </c>
      <c r="K692" t="s">
        <v>469</v>
      </c>
      <c r="L692" t="s">
        <v>470</v>
      </c>
      <c r="M692" t="s">
        <v>471</v>
      </c>
      <c r="N692">
        <v>15747394</v>
      </c>
      <c r="O692" t="s">
        <v>52</v>
      </c>
      <c r="P692" t="s">
        <v>472</v>
      </c>
    </row>
    <row r="693" spans="1:16" x14ac:dyDescent="0.3">
      <c r="A693" t="s">
        <v>994</v>
      </c>
      <c r="B693" t="s">
        <v>62</v>
      </c>
      <c r="C693" s="51">
        <v>46303.291666666664</v>
      </c>
      <c r="D693" s="51">
        <v>46301.37777777778</v>
      </c>
      <c r="E693" t="s">
        <v>87</v>
      </c>
      <c r="F693" t="s">
        <v>53</v>
      </c>
      <c r="G693" t="s">
        <v>54</v>
      </c>
      <c r="H693" t="s">
        <v>63</v>
      </c>
      <c r="I693" t="s">
        <v>64</v>
      </c>
      <c r="J693" t="s">
        <v>65</v>
      </c>
      <c r="K693" t="s">
        <v>481</v>
      </c>
      <c r="L693" t="s">
        <v>470</v>
      </c>
      <c r="M693" t="s">
        <v>471</v>
      </c>
      <c r="O693" t="s">
        <v>52</v>
      </c>
      <c r="P693" t="s">
        <v>472</v>
      </c>
    </row>
    <row r="694" spans="1:16" x14ac:dyDescent="0.3">
      <c r="A694" t="s">
        <v>995</v>
      </c>
      <c r="B694" t="s">
        <v>67</v>
      </c>
      <c r="C694" s="51">
        <v>46304.938194444447</v>
      </c>
      <c r="D694" s="51">
        <v>46301.37777777778</v>
      </c>
      <c r="E694" t="s">
        <v>87</v>
      </c>
      <c r="F694" t="s">
        <v>48</v>
      </c>
      <c r="G694" t="s">
        <v>49</v>
      </c>
      <c r="H694" t="s">
        <v>68</v>
      </c>
      <c r="I694" t="s">
        <v>69</v>
      </c>
      <c r="J694" t="s">
        <v>70</v>
      </c>
      <c r="K694" t="s">
        <v>469</v>
      </c>
      <c r="L694" t="s">
        <v>470</v>
      </c>
      <c r="M694" t="s">
        <v>471</v>
      </c>
      <c r="N694">
        <v>15747028</v>
      </c>
      <c r="O694" t="s">
        <v>52</v>
      </c>
      <c r="P694" t="s">
        <v>472</v>
      </c>
    </row>
    <row r="695" spans="1:16" x14ac:dyDescent="0.3">
      <c r="A695" t="s">
        <v>996</v>
      </c>
      <c r="B695" t="s">
        <v>67</v>
      </c>
      <c r="C695" s="51">
        <v>46303.938194444447</v>
      </c>
      <c r="D695" s="51">
        <v>46301.37777777778</v>
      </c>
      <c r="E695" t="s">
        <v>87</v>
      </c>
      <c r="F695" t="s">
        <v>48</v>
      </c>
      <c r="G695" t="s">
        <v>49</v>
      </c>
      <c r="H695" t="s">
        <v>68</v>
      </c>
      <c r="I695" t="s">
        <v>69</v>
      </c>
      <c r="J695" t="s">
        <v>70</v>
      </c>
      <c r="K695" t="s">
        <v>469</v>
      </c>
      <c r="L695" t="s">
        <v>470</v>
      </c>
      <c r="M695" t="s">
        <v>471</v>
      </c>
      <c r="N695">
        <v>15747194</v>
      </c>
      <c r="O695" t="s">
        <v>52</v>
      </c>
      <c r="P695" t="s">
        <v>472</v>
      </c>
    </row>
    <row r="696" spans="1:16" x14ac:dyDescent="0.3">
      <c r="A696" t="s">
        <v>997</v>
      </c>
      <c r="B696" t="s">
        <v>67</v>
      </c>
      <c r="C696" s="51">
        <v>46304.938194444447</v>
      </c>
      <c r="D696" s="51">
        <v>46301.37777777778</v>
      </c>
      <c r="E696" t="s">
        <v>87</v>
      </c>
      <c r="F696" t="s">
        <v>48</v>
      </c>
      <c r="G696" t="s">
        <v>49</v>
      </c>
      <c r="H696" t="s">
        <v>68</v>
      </c>
      <c r="I696" t="s">
        <v>69</v>
      </c>
      <c r="J696" t="s">
        <v>70</v>
      </c>
      <c r="K696" t="s">
        <v>469</v>
      </c>
      <c r="L696" t="s">
        <v>470</v>
      </c>
      <c r="M696" t="s">
        <v>471</v>
      </c>
      <c r="N696">
        <v>15747192</v>
      </c>
      <c r="O696" t="s">
        <v>52</v>
      </c>
      <c r="P696" t="s">
        <v>472</v>
      </c>
    </row>
    <row r="697" spans="1:16" x14ac:dyDescent="0.3">
      <c r="A697" t="s">
        <v>998</v>
      </c>
      <c r="B697" t="s">
        <v>62</v>
      </c>
      <c r="C697" s="51">
        <v>46303.291666666664</v>
      </c>
      <c r="D697" s="51">
        <v>46301.356944444444</v>
      </c>
      <c r="E697" t="s">
        <v>87</v>
      </c>
      <c r="F697" t="s">
        <v>53</v>
      </c>
      <c r="G697" t="s">
        <v>54</v>
      </c>
      <c r="H697" t="s">
        <v>63</v>
      </c>
      <c r="I697" t="s">
        <v>64</v>
      </c>
      <c r="J697" t="s">
        <v>65</v>
      </c>
      <c r="K697" t="s">
        <v>481</v>
      </c>
      <c r="L697" t="s">
        <v>470</v>
      </c>
      <c r="M697" t="s">
        <v>471</v>
      </c>
      <c r="O697" t="s">
        <v>52</v>
      </c>
      <c r="P697" t="s">
        <v>472</v>
      </c>
    </row>
    <row r="698" spans="1:16" x14ac:dyDescent="0.3">
      <c r="A698" t="s">
        <v>999</v>
      </c>
      <c r="B698" t="s">
        <v>113</v>
      </c>
      <c r="C698" s="51">
        <v>46303.938194444447</v>
      </c>
      <c r="D698" s="51">
        <v>46301.356944444444</v>
      </c>
      <c r="E698" t="s">
        <v>87</v>
      </c>
      <c r="F698" t="s">
        <v>48</v>
      </c>
      <c r="G698" t="s">
        <v>49</v>
      </c>
      <c r="H698" t="s">
        <v>114</v>
      </c>
      <c r="I698" t="s">
        <v>115</v>
      </c>
      <c r="J698" t="s">
        <v>116</v>
      </c>
      <c r="K698" t="s">
        <v>469</v>
      </c>
      <c r="L698" t="s">
        <v>470</v>
      </c>
      <c r="M698" t="s">
        <v>471</v>
      </c>
      <c r="N698">
        <v>15747026</v>
      </c>
      <c r="O698" t="s">
        <v>52</v>
      </c>
      <c r="P698" t="s">
        <v>472</v>
      </c>
    </row>
    <row r="699" spans="1:16" x14ac:dyDescent="0.3">
      <c r="A699" t="s">
        <v>1000</v>
      </c>
      <c r="B699" t="s">
        <v>62</v>
      </c>
      <c r="C699" s="51">
        <v>46303.291666666664</v>
      </c>
      <c r="D699" s="51">
        <v>46301.345833333333</v>
      </c>
      <c r="E699" t="s">
        <v>87</v>
      </c>
      <c r="F699" t="s">
        <v>53</v>
      </c>
      <c r="G699" t="s">
        <v>54</v>
      </c>
      <c r="H699" t="s">
        <v>63</v>
      </c>
      <c r="I699" t="s">
        <v>64</v>
      </c>
      <c r="J699" t="s">
        <v>65</v>
      </c>
      <c r="K699" t="s">
        <v>481</v>
      </c>
      <c r="L699" t="s">
        <v>470</v>
      </c>
      <c r="M699" t="s">
        <v>471</v>
      </c>
      <c r="O699" t="s">
        <v>52</v>
      </c>
      <c r="P699" t="s">
        <v>472</v>
      </c>
    </row>
    <row r="700" spans="1:16" x14ac:dyDescent="0.3">
      <c r="A700" t="s">
        <v>1001</v>
      </c>
      <c r="B700" t="s">
        <v>71</v>
      </c>
      <c r="C700" s="51">
        <v>46303.938194444447</v>
      </c>
      <c r="D700" s="51">
        <v>46301.345833333333</v>
      </c>
      <c r="E700" t="s">
        <v>87</v>
      </c>
      <c r="F700" t="s">
        <v>48</v>
      </c>
      <c r="G700" t="s">
        <v>49</v>
      </c>
      <c r="H700" t="s">
        <v>72</v>
      </c>
      <c r="I700" t="s">
        <v>73</v>
      </c>
      <c r="J700" t="s">
        <v>70</v>
      </c>
      <c r="K700" t="s">
        <v>469</v>
      </c>
      <c r="L700" t="s">
        <v>470</v>
      </c>
      <c r="M700" t="s">
        <v>471</v>
      </c>
      <c r="N700">
        <v>15747020</v>
      </c>
      <c r="O700" t="s">
        <v>52</v>
      </c>
      <c r="P700" t="s">
        <v>472</v>
      </c>
    </row>
    <row r="701" spans="1:16" x14ac:dyDescent="0.3">
      <c r="A701" t="s">
        <v>1002</v>
      </c>
      <c r="B701" t="s">
        <v>62</v>
      </c>
      <c r="C701" s="51">
        <v>46302.708333333336</v>
      </c>
      <c r="D701" s="51">
        <v>46301.298611111109</v>
      </c>
      <c r="E701" t="s">
        <v>87</v>
      </c>
      <c r="F701" t="s">
        <v>53</v>
      </c>
      <c r="G701" t="s">
        <v>54</v>
      </c>
      <c r="H701" t="s">
        <v>63</v>
      </c>
      <c r="I701" t="s">
        <v>64</v>
      </c>
      <c r="J701" t="s">
        <v>65</v>
      </c>
      <c r="K701" t="s">
        <v>481</v>
      </c>
      <c r="L701" t="s">
        <v>470</v>
      </c>
      <c r="M701" t="s">
        <v>471</v>
      </c>
      <c r="O701" t="s">
        <v>52</v>
      </c>
      <c r="P701" t="s">
        <v>472</v>
      </c>
    </row>
    <row r="702" spans="1:16" x14ac:dyDescent="0.3">
      <c r="A702" t="s">
        <v>1003</v>
      </c>
      <c r="B702" t="s">
        <v>67</v>
      </c>
      <c r="C702" s="51">
        <v>46303.938194444447</v>
      </c>
      <c r="D702" s="51">
        <v>46301.298611111109</v>
      </c>
      <c r="E702" t="s">
        <v>87</v>
      </c>
      <c r="F702" t="s">
        <v>48</v>
      </c>
      <c r="G702" t="s">
        <v>49</v>
      </c>
      <c r="H702" t="s">
        <v>68</v>
      </c>
      <c r="I702" t="s">
        <v>69</v>
      </c>
      <c r="J702" t="s">
        <v>70</v>
      </c>
      <c r="K702" t="s">
        <v>469</v>
      </c>
      <c r="L702" t="s">
        <v>470</v>
      </c>
      <c r="M702" t="s">
        <v>471</v>
      </c>
      <c r="N702">
        <v>15742806</v>
      </c>
      <c r="O702" t="s">
        <v>52</v>
      </c>
      <c r="P702" t="s">
        <v>472</v>
      </c>
    </row>
    <row r="703" spans="1:16" x14ac:dyDescent="0.3">
      <c r="A703" t="s">
        <v>1004</v>
      </c>
      <c r="B703" t="s">
        <v>62</v>
      </c>
      <c r="C703" s="51">
        <v>46302.708333333336</v>
      </c>
      <c r="D703" s="51">
        <v>46301.26666666667</v>
      </c>
      <c r="E703" t="s">
        <v>87</v>
      </c>
      <c r="F703" t="s">
        <v>53</v>
      </c>
      <c r="G703" t="s">
        <v>54</v>
      </c>
      <c r="H703" t="s">
        <v>63</v>
      </c>
      <c r="I703" t="s">
        <v>64</v>
      </c>
      <c r="J703" t="s">
        <v>65</v>
      </c>
      <c r="K703" t="s">
        <v>481</v>
      </c>
      <c r="L703" t="s">
        <v>470</v>
      </c>
      <c r="M703" t="s">
        <v>471</v>
      </c>
      <c r="O703" t="s">
        <v>52</v>
      </c>
      <c r="P703" t="s">
        <v>472</v>
      </c>
    </row>
    <row r="704" spans="1:16" x14ac:dyDescent="0.3">
      <c r="A704" t="s">
        <v>1005</v>
      </c>
      <c r="B704" t="s">
        <v>74</v>
      </c>
      <c r="C704" s="51">
        <v>46303.938194444447</v>
      </c>
      <c r="D704" s="51">
        <v>46301.26666666667</v>
      </c>
      <c r="E704" t="s">
        <v>87</v>
      </c>
      <c r="F704" t="s">
        <v>48</v>
      </c>
      <c r="G704" t="s">
        <v>49</v>
      </c>
      <c r="H704" t="s">
        <v>75</v>
      </c>
      <c r="I704" t="s">
        <v>86</v>
      </c>
      <c r="J704" t="s">
        <v>70</v>
      </c>
      <c r="K704" t="s">
        <v>469</v>
      </c>
      <c r="L704" t="s">
        <v>470</v>
      </c>
      <c r="M704" t="s">
        <v>471</v>
      </c>
      <c r="N704">
        <v>15742714</v>
      </c>
      <c r="O704" t="s">
        <v>52</v>
      </c>
      <c r="P704" t="s">
        <v>472</v>
      </c>
    </row>
    <row r="705" spans="1:16" x14ac:dyDescent="0.3">
      <c r="A705" t="s">
        <v>1006</v>
      </c>
      <c r="B705" t="s">
        <v>62</v>
      </c>
      <c r="C705" s="51">
        <v>46302.708333333336</v>
      </c>
      <c r="D705" s="51">
        <v>46300.961805555555</v>
      </c>
      <c r="E705" t="s">
        <v>87</v>
      </c>
      <c r="F705" t="s">
        <v>53</v>
      </c>
      <c r="G705" t="s">
        <v>54</v>
      </c>
      <c r="H705" t="s">
        <v>63</v>
      </c>
      <c r="I705" t="s">
        <v>64</v>
      </c>
      <c r="J705" t="s">
        <v>65</v>
      </c>
      <c r="K705" t="s">
        <v>481</v>
      </c>
      <c r="L705" t="s">
        <v>470</v>
      </c>
      <c r="M705" t="s">
        <v>471</v>
      </c>
      <c r="O705" t="s">
        <v>52</v>
      </c>
      <c r="P705" t="s">
        <v>472</v>
      </c>
    </row>
    <row r="706" spans="1:16" x14ac:dyDescent="0.3">
      <c r="A706" t="s">
        <v>1007</v>
      </c>
      <c r="B706" t="s">
        <v>62</v>
      </c>
      <c r="C706" s="51">
        <v>46302.666666666664</v>
      </c>
      <c r="D706" s="51">
        <v>46300.961805555555</v>
      </c>
      <c r="E706" t="s">
        <v>87</v>
      </c>
      <c r="F706" t="s">
        <v>53</v>
      </c>
      <c r="G706" t="s">
        <v>54</v>
      </c>
      <c r="H706" t="s">
        <v>63</v>
      </c>
      <c r="I706" t="s">
        <v>64</v>
      </c>
      <c r="J706" t="s">
        <v>65</v>
      </c>
      <c r="K706" t="s">
        <v>481</v>
      </c>
      <c r="L706" t="s">
        <v>470</v>
      </c>
      <c r="M706" t="s">
        <v>471</v>
      </c>
      <c r="O706" t="s">
        <v>52</v>
      </c>
      <c r="P706" t="s">
        <v>472</v>
      </c>
    </row>
    <row r="707" spans="1:16" x14ac:dyDescent="0.3">
      <c r="A707" t="s">
        <v>1008</v>
      </c>
      <c r="B707" t="s">
        <v>67</v>
      </c>
      <c r="C707" s="51">
        <v>46304.938194444447</v>
      </c>
      <c r="D707" s="51">
        <v>46300.961805555555</v>
      </c>
      <c r="E707" t="s">
        <v>87</v>
      </c>
      <c r="F707" t="s">
        <v>48</v>
      </c>
      <c r="G707" t="s">
        <v>49</v>
      </c>
      <c r="H707" t="s">
        <v>68</v>
      </c>
      <c r="I707" t="s">
        <v>69</v>
      </c>
      <c r="J707" t="s">
        <v>70</v>
      </c>
      <c r="K707" t="s">
        <v>469</v>
      </c>
      <c r="L707" t="s">
        <v>470</v>
      </c>
      <c r="M707" t="s">
        <v>471</v>
      </c>
      <c r="N707">
        <v>15742670</v>
      </c>
      <c r="O707" t="s">
        <v>52</v>
      </c>
      <c r="P707" t="s">
        <v>472</v>
      </c>
    </row>
    <row r="708" spans="1:16" x14ac:dyDescent="0.3">
      <c r="A708" t="s">
        <v>1009</v>
      </c>
      <c r="B708" t="s">
        <v>67</v>
      </c>
      <c r="C708" s="51">
        <v>46302.708333333336</v>
      </c>
      <c r="D708" s="51">
        <v>46300.961805555555</v>
      </c>
      <c r="E708" t="s">
        <v>87</v>
      </c>
      <c r="F708" t="s">
        <v>48</v>
      </c>
      <c r="G708" t="s">
        <v>49</v>
      </c>
      <c r="H708" t="s">
        <v>68</v>
      </c>
      <c r="I708" t="s">
        <v>69</v>
      </c>
      <c r="J708" t="s">
        <v>70</v>
      </c>
      <c r="K708" t="s">
        <v>469</v>
      </c>
      <c r="L708" t="s">
        <v>470</v>
      </c>
      <c r="M708" t="s">
        <v>471</v>
      </c>
      <c r="O708" t="s">
        <v>52</v>
      </c>
      <c r="P708" t="s">
        <v>472</v>
      </c>
    </row>
    <row r="709" spans="1:16" x14ac:dyDescent="0.3">
      <c r="A709" t="s">
        <v>1010</v>
      </c>
      <c r="B709" t="s">
        <v>62</v>
      </c>
      <c r="C709" s="51">
        <v>46302.666666666664</v>
      </c>
      <c r="D709" s="51">
        <v>46300.870833333334</v>
      </c>
      <c r="E709" t="s">
        <v>87</v>
      </c>
      <c r="F709" t="s">
        <v>53</v>
      </c>
      <c r="G709" t="s">
        <v>54</v>
      </c>
      <c r="H709" t="s">
        <v>63</v>
      </c>
      <c r="I709" t="s">
        <v>64</v>
      </c>
      <c r="J709" t="s">
        <v>65</v>
      </c>
      <c r="K709" t="s">
        <v>481</v>
      </c>
      <c r="L709" t="s">
        <v>470</v>
      </c>
      <c r="M709" t="s">
        <v>471</v>
      </c>
      <c r="O709" t="s">
        <v>52</v>
      </c>
      <c r="P709" t="s">
        <v>472</v>
      </c>
    </row>
    <row r="710" spans="1:16" x14ac:dyDescent="0.3">
      <c r="A710" t="s">
        <v>1011</v>
      </c>
      <c r="B710" t="s">
        <v>62</v>
      </c>
      <c r="C710" s="51">
        <v>46302.666666666664</v>
      </c>
      <c r="D710" s="51">
        <v>46300.870833333334</v>
      </c>
      <c r="E710" t="s">
        <v>87</v>
      </c>
      <c r="F710" t="s">
        <v>53</v>
      </c>
      <c r="G710" t="s">
        <v>54</v>
      </c>
      <c r="H710" t="s">
        <v>63</v>
      </c>
      <c r="I710" t="s">
        <v>64</v>
      </c>
      <c r="J710" t="s">
        <v>65</v>
      </c>
      <c r="K710" t="s">
        <v>481</v>
      </c>
      <c r="L710" t="s">
        <v>470</v>
      </c>
      <c r="M710" t="s">
        <v>471</v>
      </c>
      <c r="O710" t="s">
        <v>52</v>
      </c>
      <c r="P710" t="s">
        <v>472</v>
      </c>
    </row>
    <row r="711" spans="1:16" x14ac:dyDescent="0.3">
      <c r="A711" t="s">
        <v>1012</v>
      </c>
      <c r="B711" t="s">
        <v>74</v>
      </c>
      <c r="C711" s="51">
        <v>46303.938194444447</v>
      </c>
      <c r="D711" s="51">
        <v>46300.870833333334</v>
      </c>
      <c r="E711" t="s">
        <v>87</v>
      </c>
      <c r="F711" t="s">
        <v>48</v>
      </c>
      <c r="G711" t="s">
        <v>49</v>
      </c>
      <c r="H711" t="s">
        <v>75</v>
      </c>
      <c r="I711" t="s">
        <v>76</v>
      </c>
      <c r="J711" t="s">
        <v>70</v>
      </c>
      <c r="K711" t="s">
        <v>469</v>
      </c>
      <c r="L711" t="s">
        <v>470</v>
      </c>
      <c r="M711" t="s">
        <v>471</v>
      </c>
      <c r="N711">
        <v>15742462</v>
      </c>
      <c r="O711" t="s">
        <v>52</v>
      </c>
      <c r="P711" t="s">
        <v>472</v>
      </c>
    </row>
    <row r="712" spans="1:16" x14ac:dyDescent="0.3">
      <c r="A712" t="s">
        <v>1013</v>
      </c>
      <c r="B712" t="s">
        <v>113</v>
      </c>
      <c r="C712" s="51">
        <v>46304.938194444447</v>
      </c>
      <c r="D712" s="51">
        <v>46300.870833333334</v>
      </c>
      <c r="E712" t="s">
        <v>87</v>
      </c>
      <c r="F712" t="s">
        <v>48</v>
      </c>
      <c r="G712" t="s">
        <v>49</v>
      </c>
      <c r="H712" t="s">
        <v>114</v>
      </c>
      <c r="I712" t="s">
        <v>115</v>
      </c>
      <c r="J712" t="s">
        <v>116</v>
      </c>
      <c r="K712" t="s">
        <v>469</v>
      </c>
      <c r="L712" t="s">
        <v>470</v>
      </c>
      <c r="M712" t="s">
        <v>471</v>
      </c>
      <c r="N712">
        <v>15742598</v>
      </c>
      <c r="O712" t="s">
        <v>52</v>
      </c>
      <c r="P712" t="s">
        <v>472</v>
      </c>
    </row>
    <row r="713" spans="1:16" x14ac:dyDescent="0.3">
      <c r="A713" t="s">
        <v>1014</v>
      </c>
      <c r="B713" t="s">
        <v>62</v>
      </c>
      <c r="C713" s="51">
        <v>46302.666666666664</v>
      </c>
      <c r="D713" s="51">
        <v>46300.839583333334</v>
      </c>
      <c r="E713" t="s">
        <v>87</v>
      </c>
      <c r="F713" t="s">
        <v>53</v>
      </c>
      <c r="G713" t="s">
        <v>54</v>
      </c>
      <c r="H713" t="s">
        <v>63</v>
      </c>
      <c r="I713" t="s">
        <v>64</v>
      </c>
      <c r="J713" t="s">
        <v>65</v>
      </c>
      <c r="K713" t="s">
        <v>481</v>
      </c>
      <c r="L713" t="s">
        <v>470</v>
      </c>
      <c r="M713" t="s">
        <v>471</v>
      </c>
      <c r="O713" t="s">
        <v>52</v>
      </c>
      <c r="P713" t="s">
        <v>472</v>
      </c>
    </row>
    <row r="714" spans="1:16" x14ac:dyDescent="0.3">
      <c r="A714" t="s">
        <v>1015</v>
      </c>
      <c r="B714" t="s">
        <v>155</v>
      </c>
      <c r="C714" s="51">
        <v>46304.938194444447</v>
      </c>
      <c r="D714" s="51">
        <v>46300.837500000001</v>
      </c>
      <c r="E714" t="s">
        <v>87</v>
      </c>
      <c r="F714" t="s">
        <v>53</v>
      </c>
      <c r="G714" t="s">
        <v>85</v>
      </c>
      <c r="H714" t="s">
        <v>156</v>
      </c>
      <c r="I714" t="s">
        <v>157</v>
      </c>
      <c r="J714" t="s">
        <v>70</v>
      </c>
      <c r="K714" t="s">
        <v>469</v>
      </c>
      <c r="L714" t="s">
        <v>470</v>
      </c>
      <c r="M714" t="s">
        <v>471</v>
      </c>
      <c r="N714">
        <v>15742438</v>
      </c>
      <c r="O714" t="s">
        <v>52</v>
      </c>
      <c r="P714" t="s">
        <v>472</v>
      </c>
    </row>
    <row r="715" spans="1:16" x14ac:dyDescent="0.3">
      <c r="A715" t="s">
        <v>1016</v>
      </c>
      <c r="B715" t="s">
        <v>62</v>
      </c>
      <c r="C715" s="51">
        <v>46302.666666666664</v>
      </c>
      <c r="D715" s="51">
        <v>46300.824305555558</v>
      </c>
      <c r="E715" t="s">
        <v>87</v>
      </c>
      <c r="F715" t="s">
        <v>53</v>
      </c>
      <c r="G715" t="s">
        <v>54</v>
      </c>
      <c r="H715" t="s">
        <v>63</v>
      </c>
      <c r="I715" t="s">
        <v>64</v>
      </c>
      <c r="J715" t="s">
        <v>65</v>
      </c>
      <c r="K715" t="s">
        <v>481</v>
      </c>
      <c r="L715" t="s">
        <v>470</v>
      </c>
      <c r="M715" t="s">
        <v>471</v>
      </c>
      <c r="O715" t="s">
        <v>52</v>
      </c>
      <c r="P715" t="s">
        <v>472</v>
      </c>
    </row>
    <row r="716" spans="1:16" x14ac:dyDescent="0.3">
      <c r="A716" t="s">
        <v>1017</v>
      </c>
      <c r="B716" t="s">
        <v>74</v>
      </c>
      <c r="C716" s="51">
        <v>46304.938194444447</v>
      </c>
      <c r="D716" s="51">
        <v>46300.822222222225</v>
      </c>
      <c r="E716" t="s">
        <v>87</v>
      </c>
      <c r="F716" t="s">
        <v>48</v>
      </c>
      <c r="G716" t="s">
        <v>49</v>
      </c>
      <c r="H716" t="s">
        <v>75</v>
      </c>
      <c r="I716" t="s">
        <v>86</v>
      </c>
      <c r="J716" t="s">
        <v>70</v>
      </c>
      <c r="K716" t="s">
        <v>469</v>
      </c>
      <c r="L716" t="s">
        <v>470</v>
      </c>
      <c r="M716" t="s">
        <v>471</v>
      </c>
      <c r="N716">
        <v>15742420</v>
      </c>
      <c r="O716" t="s">
        <v>52</v>
      </c>
      <c r="P716" t="s">
        <v>472</v>
      </c>
    </row>
    <row r="717" spans="1:16" x14ac:dyDescent="0.3">
      <c r="A717" t="s">
        <v>1018</v>
      </c>
      <c r="B717" t="s">
        <v>62</v>
      </c>
      <c r="C717" s="51">
        <v>46302.666666666664</v>
      </c>
      <c r="D717" s="51">
        <v>46300.793749999997</v>
      </c>
      <c r="E717" t="s">
        <v>87</v>
      </c>
      <c r="F717" t="s">
        <v>53</v>
      </c>
      <c r="G717" t="s">
        <v>54</v>
      </c>
      <c r="H717" t="s">
        <v>63</v>
      </c>
      <c r="I717" t="s">
        <v>64</v>
      </c>
      <c r="J717" t="s">
        <v>65</v>
      </c>
      <c r="K717" t="s">
        <v>481</v>
      </c>
      <c r="L717" t="s">
        <v>470</v>
      </c>
      <c r="M717" t="s">
        <v>471</v>
      </c>
      <c r="O717" t="s">
        <v>52</v>
      </c>
      <c r="P717" t="s">
        <v>472</v>
      </c>
    </row>
    <row r="718" spans="1:16" x14ac:dyDescent="0.3">
      <c r="A718" t="s">
        <v>1019</v>
      </c>
      <c r="B718" t="s">
        <v>62</v>
      </c>
      <c r="C718" s="51">
        <v>46302.666666666664</v>
      </c>
      <c r="D718" s="51">
        <v>46300.792361111111</v>
      </c>
      <c r="E718" t="s">
        <v>87</v>
      </c>
      <c r="F718" t="s">
        <v>53</v>
      </c>
      <c r="G718" t="s">
        <v>54</v>
      </c>
      <c r="H718" t="s">
        <v>63</v>
      </c>
      <c r="I718" t="s">
        <v>64</v>
      </c>
      <c r="J718" t="s">
        <v>65</v>
      </c>
      <c r="K718" t="s">
        <v>481</v>
      </c>
      <c r="L718" t="s">
        <v>470</v>
      </c>
      <c r="M718" t="s">
        <v>471</v>
      </c>
      <c r="O718" t="s">
        <v>52</v>
      </c>
      <c r="P718" t="s">
        <v>472</v>
      </c>
    </row>
    <row r="719" spans="1:16" x14ac:dyDescent="0.3">
      <c r="A719" t="s">
        <v>1020</v>
      </c>
      <c r="B719" t="s">
        <v>62</v>
      </c>
      <c r="C719" s="51">
        <v>46302.666666666664</v>
      </c>
      <c r="D719" s="51">
        <v>46300.792361111111</v>
      </c>
      <c r="E719" t="s">
        <v>87</v>
      </c>
      <c r="F719" t="s">
        <v>53</v>
      </c>
      <c r="G719" t="s">
        <v>54</v>
      </c>
      <c r="H719" t="s">
        <v>63</v>
      </c>
      <c r="I719" t="s">
        <v>64</v>
      </c>
      <c r="J719" t="s">
        <v>65</v>
      </c>
      <c r="K719" t="s">
        <v>481</v>
      </c>
      <c r="L719" t="s">
        <v>470</v>
      </c>
      <c r="M719" t="s">
        <v>471</v>
      </c>
      <c r="O719" t="s">
        <v>52</v>
      </c>
      <c r="P719" t="s">
        <v>472</v>
      </c>
    </row>
    <row r="720" spans="1:16" x14ac:dyDescent="0.3">
      <c r="A720" t="s">
        <v>1021</v>
      </c>
      <c r="B720" t="s">
        <v>62</v>
      </c>
      <c r="C720" s="51">
        <v>46302.666666666664</v>
      </c>
      <c r="D720" s="51">
        <v>46300.792361111111</v>
      </c>
      <c r="E720" t="s">
        <v>87</v>
      </c>
      <c r="F720" t="s">
        <v>53</v>
      </c>
      <c r="G720" t="s">
        <v>54</v>
      </c>
      <c r="H720" t="s">
        <v>63</v>
      </c>
      <c r="I720" t="s">
        <v>64</v>
      </c>
      <c r="J720" t="s">
        <v>65</v>
      </c>
      <c r="K720" t="s">
        <v>481</v>
      </c>
      <c r="L720" t="s">
        <v>470</v>
      </c>
      <c r="M720" t="s">
        <v>471</v>
      </c>
      <c r="O720" t="s">
        <v>52</v>
      </c>
      <c r="P720" t="s">
        <v>472</v>
      </c>
    </row>
    <row r="721" spans="1:16" x14ac:dyDescent="0.3">
      <c r="A721" t="s">
        <v>1022</v>
      </c>
      <c r="B721" t="s">
        <v>62</v>
      </c>
      <c r="C721" s="51">
        <v>46302.666666666664</v>
      </c>
      <c r="D721" s="51">
        <v>46300.792361111111</v>
      </c>
      <c r="E721" t="s">
        <v>87</v>
      </c>
      <c r="F721" t="s">
        <v>53</v>
      </c>
      <c r="G721" t="s">
        <v>54</v>
      </c>
      <c r="H721" t="s">
        <v>63</v>
      </c>
      <c r="I721" t="s">
        <v>64</v>
      </c>
      <c r="J721" t="s">
        <v>65</v>
      </c>
      <c r="K721" t="s">
        <v>481</v>
      </c>
      <c r="L721" t="s">
        <v>470</v>
      </c>
      <c r="M721" t="s">
        <v>471</v>
      </c>
      <c r="O721" t="s">
        <v>52</v>
      </c>
      <c r="P721" t="s">
        <v>472</v>
      </c>
    </row>
    <row r="722" spans="1:16" x14ac:dyDescent="0.3">
      <c r="A722" t="s">
        <v>1023</v>
      </c>
      <c r="B722" t="s">
        <v>62</v>
      </c>
      <c r="C722" s="51">
        <v>46302.625</v>
      </c>
      <c r="D722" s="51">
        <v>46300.790972222225</v>
      </c>
      <c r="E722" t="s">
        <v>87</v>
      </c>
      <c r="F722" t="s">
        <v>53</v>
      </c>
      <c r="G722" t="s">
        <v>54</v>
      </c>
      <c r="H722" t="s">
        <v>63</v>
      </c>
      <c r="I722" t="s">
        <v>64</v>
      </c>
      <c r="J722" t="s">
        <v>65</v>
      </c>
      <c r="K722" t="s">
        <v>481</v>
      </c>
      <c r="L722" t="s">
        <v>470</v>
      </c>
      <c r="M722" t="s">
        <v>471</v>
      </c>
      <c r="O722" t="s">
        <v>52</v>
      </c>
      <c r="P722" t="s">
        <v>472</v>
      </c>
    </row>
    <row r="723" spans="1:16" x14ac:dyDescent="0.3">
      <c r="A723" t="s">
        <v>1024</v>
      </c>
      <c r="B723" t="s">
        <v>62</v>
      </c>
      <c r="C723" s="51">
        <v>46302.625</v>
      </c>
      <c r="D723" s="51">
        <v>46300.790972222225</v>
      </c>
      <c r="E723" t="s">
        <v>87</v>
      </c>
      <c r="F723" t="s">
        <v>53</v>
      </c>
      <c r="G723" t="s">
        <v>54</v>
      </c>
      <c r="H723" t="s">
        <v>63</v>
      </c>
      <c r="I723" t="s">
        <v>64</v>
      </c>
      <c r="J723" t="s">
        <v>65</v>
      </c>
      <c r="K723" t="s">
        <v>481</v>
      </c>
      <c r="L723" t="s">
        <v>470</v>
      </c>
      <c r="M723" t="s">
        <v>471</v>
      </c>
      <c r="O723" t="s">
        <v>52</v>
      </c>
      <c r="P723" t="s">
        <v>472</v>
      </c>
    </row>
    <row r="724" spans="1:16" x14ac:dyDescent="0.3">
      <c r="A724" t="s">
        <v>1025</v>
      </c>
      <c r="B724" t="s">
        <v>62</v>
      </c>
      <c r="C724" s="51">
        <v>46302.625</v>
      </c>
      <c r="D724" s="51">
        <v>46300.790972222225</v>
      </c>
      <c r="E724" t="s">
        <v>87</v>
      </c>
      <c r="F724" t="s">
        <v>53</v>
      </c>
      <c r="G724" t="s">
        <v>54</v>
      </c>
      <c r="H724" t="s">
        <v>63</v>
      </c>
      <c r="I724" t="s">
        <v>64</v>
      </c>
      <c r="J724" t="s">
        <v>65</v>
      </c>
      <c r="K724" t="s">
        <v>481</v>
      </c>
      <c r="L724" t="s">
        <v>470</v>
      </c>
      <c r="M724" t="s">
        <v>471</v>
      </c>
      <c r="O724" t="s">
        <v>52</v>
      </c>
      <c r="P724" t="s">
        <v>472</v>
      </c>
    </row>
    <row r="725" spans="1:16" x14ac:dyDescent="0.3">
      <c r="A725" t="s">
        <v>1026</v>
      </c>
      <c r="B725" t="s">
        <v>62</v>
      </c>
      <c r="C725" s="51">
        <v>46302.625</v>
      </c>
      <c r="D725" s="51">
        <v>46300.790972222225</v>
      </c>
      <c r="E725" t="s">
        <v>87</v>
      </c>
      <c r="F725" t="s">
        <v>53</v>
      </c>
      <c r="G725" t="s">
        <v>54</v>
      </c>
      <c r="H725" t="s">
        <v>63</v>
      </c>
      <c r="I725" t="s">
        <v>64</v>
      </c>
      <c r="J725" t="s">
        <v>65</v>
      </c>
      <c r="K725" t="s">
        <v>481</v>
      </c>
      <c r="L725" t="s">
        <v>470</v>
      </c>
      <c r="M725" t="s">
        <v>471</v>
      </c>
      <c r="O725" t="s">
        <v>52</v>
      </c>
      <c r="P725" t="s">
        <v>472</v>
      </c>
    </row>
    <row r="726" spans="1:16" x14ac:dyDescent="0.3">
      <c r="A726" t="s">
        <v>1027</v>
      </c>
      <c r="B726" t="s">
        <v>62</v>
      </c>
      <c r="C726" s="51">
        <v>46302.625</v>
      </c>
      <c r="D726" s="51">
        <v>46300.790972222225</v>
      </c>
      <c r="E726" t="s">
        <v>87</v>
      </c>
      <c r="F726" t="s">
        <v>53</v>
      </c>
      <c r="G726" t="s">
        <v>54</v>
      </c>
      <c r="H726" t="s">
        <v>63</v>
      </c>
      <c r="I726" t="s">
        <v>64</v>
      </c>
      <c r="J726" t="s">
        <v>65</v>
      </c>
      <c r="K726" t="s">
        <v>481</v>
      </c>
      <c r="L726" t="s">
        <v>470</v>
      </c>
      <c r="M726" t="s">
        <v>471</v>
      </c>
      <c r="O726" t="s">
        <v>52</v>
      </c>
      <c r="P726" t="s">
        <v>472</v>
      </c>
    </row>
    <row r="727" spans="1:16" x14ac:dyDescent="0.3">
      <c r="A727" t="s">
        <v>1028</v>
      </c>
      <c r="B727" t="s">
        <v>62</v>
      </c>
      <c r="C727" s="51">
        <v>46302.625</v>
      </c>
      <c r="D727" s="51">
        <v>46300.790972222225</v>
      </c>
      <c r="E727" t="s">
        <v>87</v>
      </c>
      <c r="F727" t="s">
        <v>53</v>
      </c>
      <c r="G727" t="s">
        <v>54</v>
      </c>
      <c r="H727" t="s">
        <v>63</v>
      </c>
      <c r="I727" t="s">
        <v>64</v>
      </c>
      <c r="J727" t="s">
        <v>65</v>
      </c>
      <c r="K727" t="s">
        <v>481</v>
      </c>
      <c r="L727" t="s">
        <v>470</v>
      </c>
      <c r="M727" t="s">
        <v>471</v>
      </c>
      <c r="O727" t="s">
        <v>52</v>
      </c>
      <c r="P727" t="s">
        <v>472</v>
      </c>
    </row>
    <row r="728" spans="1:16" x14ac:dyDescent="0.3">
      <c r="A728" t="s">
        <v>1029</v>
      </c>
      <c r="B728" t="s">
        <v>155</v>
      </c>
      <c r="C728" s="51">
        <v>46307.938194444447</v>
      </c>
      <c r="D728" s="51">
        <v>46300.790972222225</v>
      </c>
      <c r="E728" t="s">
        <v>87</v>
      </c>
      <c r="F728" t="s">
        <v>53</v>
      </c>
      <c r="G728" t="s">
        <v>85</v>
      </c>
      <c r="H728" t="s">
        <v>156</v>
      </c>
      <c r="I728" t="s">
        <v>157</v>
      </c>
      <c r="J728" t="s">
        <v>70</v>
      </c>
      <c r="K728" t="s">
        <v>469</v>
      </c>
      <c r="L728" t="s">
        <v>470</v>
      </c>
      <c r="M728" t="s">
        <v>471</v>
      </c>
      <c r="N728">
        <v>15741906</v>
      </c>
      <c r="O728" t="s">
        <v>52</v>
      </c>
      <c r="P728" t="s">
        <v>472</v>
      </c>
    </row>
    <row r="729" spans="1:16" x14ac:dyDescent="0.3">
      <c r="A729" t="s">
        <v>1030</v>
      </c>
      <c r="B729" t="s">
        <v>62</v>
      </c>
      <c r="C729" s="51">
        <v>46302.625</v>
      </c>
      <c r="D729" s="51">
        <v>46300.790277777778</v>
      </c>
      <c r="E729" t="s">
        <v>87</v>
      </c>
      <c r="F729" t="s">
        <v>53</v>
      </c>
      <c r="G729" t="s">
        <v>54</v>
      </c>
      <c r="H729" t="s">
        <v>63</v>
      </c>
      <c r="I729" t="s">
        <v>64</v>
      </c>
      <c r="J729" t="s">
        <v>65</v>
      </c>
      <c r="K729" t="s">
        <v>481</v>
      </c>
      <c r="L729" t="s">
        <v>470</v>
      </c>
      <c r="M729" t="s">
        <v>471</v>
      </c>
      <c r="O729" t="s">
        <v>52</v>
      </c>
      <c r="P729" t="s">
        <v>472</v>
      </c>
    </row>
    <row r="730" spans="1:16" x14ac:dyDescent="0.3">
      <c r="A730" t="s">
        <v>1031</v>
      </c>
      <c r="B730" t="s">
        <v>62</v>
      </c>
      <c r="C730" s="51">
        <v>46302.583333333336</v>
      </c>
      <c r="D730" s="51">
        <v>46300.790277777778</v>
      </c>
      <c r="E730" t="s">
        <v>87</v>
      </c>
      <c r="F730" t="s">
        <v>53</v>
      </c>
      <c r="G730" t="s">
        <v>54</v>
      </c>
      <c r="H730" t="s">
        <v>63</v>
      </c>
      <c r="I730" t="s">
        <v>64</v>
      </c>
      <c r="J730" t="s">
        <v>65</v>
      </c>
      <c r="K730" t="s">
        <v>481</v>
      </c>
      <c r="L730" t="s">
        <v>470</v>
      </c>
      <c r="M730" t="s">
        <v>471</v>
      </c>
      <c r="O730" t="s">
        <v>52</v>
      </c>
      <c r="P730" t="s">
        <v>472</v>
      </c>
    </row>
    <row r="731" spans="1:16" x14ac:dyDescent="0.3">
      <c r="A731" t="s">
        <v>1032</v>
      </c>
      <c r="B731" t="s">
        <v>62</v>
      </c>
      <c r="C731" s="51">
        <v>46302.583333333336</v>
      </c>
      <c r="D731" s="51">
        <v>46300.789583333331</v>
      </c>
      <c r="E731" t="s">
        <v>87</v>
      </c>
      <c r="F731" t="s">
        <v>53</v>
      </c>
      <c r="G731" t="s">
        <v>54</v>
      </c>
      <c r="H731" t="s">
        <v>63</v>
      </c>
      <c r="I731" t="s">
        <v>64</v>
      </c>
      <c r="J731" t="s">
        <v>65</v>
      </c>
      <c r="K731" t="s">
        <v>481</v>
      </c>
      <c r="L731" t="s">
        <v>470</v>
      </c>
      <c r="M731" t="s">
        <v>471</v>
      </c>
      <c r="O731" t="s">
        <v>52</v>
      </c>
      <c r="P731" t="s">
        <v>472</v>
      </c>
    </row>
    <row r="732" spans="1:16" x14ac:dyDescent="0.3">
      <c r="A732" t="s">
        <v>1033</v>
      </c>
      <c r="B732" t="s">
        <v>62</v>
      </c>
      <c r="C732" s="51">
        <v>46302.583333333336</v>
      </c>
      <c r="D732" s="51">
        <v>46300.789583333331</v>
      </c>
      <c r="E732" t="s">
        <v>87</v>
      </c>
      <c r="F732" t="s">
        <v>53</v>
      </c>
      <c r="G732" t="s">
        <v>54</v>
      </c>
      <c r="H732" t="s">
        <v>63</v>
      </c>
      <c r="I732" t="s">
        <v>64</v>
      </c>
      <c r="J732" t="s">
        <v>65</v>
      </c>
      <c r="K732" t="s">
        <v>481</v>
      </c>
      <c r="L732" t="s">
        <v>470</v>
      </c>
      <c r="M732" t="s">
        <v>471</v>
      </c>
      <c r="O732" t="s">
        <v>52</v>
      </c>
      <c r="P732" t="s">
        <v>472</v>
      </c>
    </row>
    <row r="733" spans="1:16" x14ac:dyDescent="0.3">
      <c r="A733" t="s">
        <v>1034</v>
      </c>
      <c r="B733" t="s">
        <v>62</v>
      </c>
      <c r="C733" s="51">
        <v>46302.583333333336</v>
      </c>
      <c r="D733" s="51">
        <v>46300.789583333331</v>
      </c>
      <c r="E733" t="s">
        <v>87</v>
      </c>
      <c r="F733" t="s">
        <v>53</v>
      </c>
      <c r="G733" t="s">
        <v>54</v>
      </c>
      <c r="H733" t="s">
        <v>63</v>
      </c>
      <c r="I733" t="s">
        <v>64</v>
      </c>
      <c r="J733" t="s">
        <v>65</v>
      </c>
      <c r="K733" t="s">
        <v>481</v>
      </c>
      <c r="L733" t="s">
        <v>470</v>
      </c>
      <c r="M733" t="s">
        <v>471</v>
      </c>
      <c r="O733" t="s">
        <v>52</v>
      </c>
      <c r="P733" t="s">
        <v>472</v>
      </c>
    </row>
    <row r="734" spans="1:16" x14ac:dyDescent="0.3">
      <c r="A734" t="s">
        <v>1035</v>
      </c>
      <c r="B734" t="s">
        <v>62</v>
      </c>
      <c r="C734" s="51">
        <v>46302.583333333336</v>
      </c>
      <c r="D734" s="51">
        <v>46300.773611111108</v>
      </c>
      <c r="E734" t="s">
        <v>87</v>
      </c>
      <c r="F734" t="s">
        <v>53</v>
      </c>
      <c r="G734" t="s">
        <v>54</v>
      </c>
      <c r="H734" t="s">
        <v>63</v>
      </c>
      <c r="I734" t="s">
        <v>64</v>
      </c>
      <c r="J734" t="s">
        <v>65</v>
      </c>
      <c r="K734" t="s">
        <v>481</v>
      </c>
      <c r="L734" t="s">
        <v>470</v>
      </c>
      <c r="M734" t="s">
        <v>471</v>
      </c>
      <c r="O734" t="s">
        <v>52</v>
      </c>
      <c r="P734" t="s">
        <v>472</v>
      </c>
    </row>
    <row r="735" spans="1:16" x14ac:dyDescent="0.3">
      <c r="A735" t="s">
        <v>1036</v>
      </c>
      <c r="B735" t="s">
        <v>62</v>
      </c>
      <c r="C735" s="51">
        <v>46302.583333333336</v>
      </c>
      <c r="D735" s="51">
        <v>46300.773611111108</v>
      </c>
      <c r="E735" t="s">
        <v>87</v>
      </c>
      <c r="F735" t="s">
        <v>53</v>
      </c>
      <c r="G735" t="s">
        <v>54</v>
      </c>
      <c r="H735" t="s">
        <v>63</v>
      </c>
      <c r="I735" t="s">
        <v>64</v>
      </c>
      <c r="J735" t="s">
        <v>65</v>
      </c>
      <c r="K735" t="s">
        <v>481</v>
      </c>
      <c r="L735" t="s">
        <v>470</v>
      </c>
      <c r="M735" t="s">
        <v>471</v>
      </c>
      <c r="O735" t="s">
        <v>52</v>
      </c>
      <c r="P735" t="s">
        <v>472</v>
      </c>
    </row>
    <row r="736" spans="1:16" x14ac:dyDescent="0.3">
      <c r="A736" t="s">
        <v>1037</v>
      </c>
      <c r="B736" t="s">
        <v>67</v>
      </c>
      <c r="C736" s="51">
        <v>46302.9375</v>
      </c>
      <c r="D736" s="51">
        <v>46300.773611111108</v>
      </c>
      <c r="E736" t="s">
        <v>87</v>
      </c>
      <c r="F736" t="s">
        <v>48</v>
      </c>
      <c r="G736" t="s">
        <v>49</v>
      </c>
      <c r="H736" t="s">
        <v>68</v>
      </c>
      <c r="I736" t="s">
        <v>69</v>
      </c>
      <c r="J736" t="s">
        <v>70</v>
      </c>
      <c r="K736" t="s">
        <v>469</v>
      </c>
      <c r="L736" t="s">
        <v>470</v>
      </c>
      <c r="M736" t="s">
        <v>471</v>
      </c>
      <c r="N736">
        <v>15741248</v>
      </c>
      <c r="O736" t="s">
        <v>52</v>
      </c>
      <c r="P736" t="s">
        <v>472</v>
      </c>
    </row>
    <row r="737" spans="1:16" x14ac:dyDescent="0.3">
      <c r="A737" t="s">
        <v>1038</v>
      </c>
      <c r="B737" t="s">
        <v>113</v>
      </c>
      <c r="C737" s="51">
        <v>46303.938194444447</v>
      </c>
      <c r="D737" s="51">
        <v>46300.773611111108</v>
      </c>
      <c r="E737" t="s">
        <v>87</v>
      </c>
      <c r="F737" t="s">
        <v>48</v>
      </c>
      <c r="G737" t="s">
        <v>49</v>
      </c>
      <c r="H737" t="s">
        <v>114</v>
      </c>
      <c r="I737" t="s">
        <v>115</v>
      </c>
      <c r="J737" t="s">
        <v>116</v>
      </c>
      <c r="K737" t="s">
        <v>469</v>
      </c>
      <c r="L737" t="s">
        <v>470</v>
      </c>
      <c r="M737" t="s">
        <v>471</v>
      </c>
      <c r="N737">
        <v>15741234</v>
      </c>
      <c r="O737" t="s">
        <v>52</v>
      </c>
      <c r="P737" t="s">
        <v>472</v>
      </c>
    </row>
    <row r="738" spans="1:16" x14ac:dyDescent="0.3">
      <c r="A738" t="s">
        <v>1039</v>
      </c>
      <c r="B738" t="s">
        <v>62</v>
      </c>
      <c r="C738" s="51">
        <v>46302.541666666664</v>
      </c>
      <c r="D738" s="51">
        <v>46300.772222222222</v>
      </c>
      <c r="E738" t="s">
        <v>87</v>
      </c>
      <c r="F738" t="s">
        <v>53</v>
      </c>
      <c r="G738" t="s">
        <v>54</v>
      </c>
      <c r="H738" t="s">
        <v>63</v>
      </c>
      <c r="I738" t="s">
        <v>64</v>
      </c>
      <c r="J738" t="s">
        <v>65</v>
      </c>
      <c r="K738" t="s">
        <v>481</v>
      </c>
      <c r="L738" t="s">
        <v>470</v>
      </c>
      <c r="M738" t="s">
        <v>471</v>
      </c>
      <c r="O738" t="s">
        <v>52</v>
      </c>
      <c r="P738" t="s">
        <v>472</v>
      </c>
    </row>
    <row r="739" spans="1:16" x14ac:dyDescent="0.3">
      <c r="A739" t="s">
        <v>1040</v>
      </c>
      <c r="B739" t="s">
        <v>67</v>
      </c>
      <c r="C739" s="51">
        <v>46302.9375</v>
      </c>
      <c r="D739" s="51">
        <v>46300.772222222222</v>
      </c>
      <c r="E739" t="s">
        <v>87</v>
      </c>
      <c r="F739" t="s">
        <v>48</v>
      </c>
      <c r="G739" t="s">
        <v>49</v>
      </c>
      <c r="H739" t="s">
        <v>68</v>
      </c>
      <c r="I739" t="s">
        <v>69</v>
      </c>
      <c r="J739" t="s">
        <v>70</v>
      </c>
      <c r="K739" t="s">
        <v>469</v>
      </c>
      <c r="L739" t="s">
        <v>470</v>
      </c>
      <c r="M739" t="s">
        <v>471</v>
      </c>
      <c r="N739">
        <v>15741418</v>
      </c>
      <c r="O739" t="s">
        <v>52</v>
      </c>
      <c r="P739" t="s">
        <v>472</v>
      </c>
    </row>
    <row r="740" spans="1:16" x14ac:dyDescent="0.3">
      <c r="A740" t="s">
        <v>1041</v>
      </c>
      <c r="B740" t="s">
        <v>47</v>
      </c>
      <c r="C740" s="51">
        <v>46302.583333333336</v>
      </c>
      <c r="D740" s="51">
        <v>46300.760416666664</v>
      </c>
      <c r="E740" t="s">
        <v>87</v>
      </c>
      <c r="F740" t="s">
        <v>48</v>
      </c>
      <c r="G740" t="s">
        <v>49</v>
      </c>
      <c r="H740" t="s">
        <v>50</v>
      </c>
      <c r="I740" t="s">
        <v>66</v>
      </c>
      <c r="J740" t="s">
        <v>51</v>
      </c>
      <c r="K740" t="s">
        <v>469</v>
      </c>
      <c r="L740" t="s">
        <v>470</v>
      </c>
      <c r="M740" t="s">
        <v>471</v>
      </c>
      <c r="O740" t="s">
        <v>52</v>
      </c>
      <c r="P740" t="s">
        <v>472</v>
      </c>
    </row>
    <row r="741" spans="1:16" x14ac:dyDescent="0.3">
      <c r="A741" t="s">
        <v>1042</v>
      </c>
      <c r="B741" t="s">
        <v>74</v>
      </c>
      <c r="C741" s="51">
        <v>46308.620138888888</v>
      </c>
      <c r="D741" s="51">
        <v>46300.75277777778</v>
      </c>
      <c r="E741" t="s">
        <v>87</v>
      </c>
      <c r="F741" t="s">
        <v>48</v>
      </c>
      <c r="G741" t="s">
        <v>49</v>
      </c>
      <c r="H741" t="s">
        <v>75</v>
      </c>
      <c r="I741" t="s">
        <v>76</v>
      </c>
      <c r="J741" t="s">
        <v>70</v>
      </c>
      <c r="K741" t="s">
        <v>469</v>
      </c>
      <c r="L741" t="s">
        <v>470</v>
      </c>
      <c r="M741" t="s">
        <v>485</v>
      </c>
      <c r="N741">
        <v>15740812</v>
      </c>
      <c r="O741" t="s">
        <v>52</v>
      </c>
      <c r="P741" t="s">
        <v>472</v>
      </c>
    </row>
    <row r="742" spans="1:16" x14ac:dyDescent="0.3">
      <c r="A742" t="s">
        <v>1043</v>
      </c>
      <c r="B742" t="s">
        <v>124</v>
      </c>
      <c r="C742" s="51">
        <v>46301.791666666664</v>
      </c>
      <c r="D742" s="51">
        <v>46300.743750000001</v>
      </c>
      <c r="E742" t="s">
        <v>87</v>
      </c>
      <c r="F742" t="s">
        <v>77</v>
      </c>
      <c r="G742" t="s">
        <v>107</v>
      </c>
      <c r="H742" t="s">
        <v>125</v>
      </c>
      <c r="I742" t="s">
        <v>122</v>
      </c>
      <c r="J742" t="s">
        <v>126</v>
      </c>
      <c r="K742" t="s">
        <v>475</v>
      </c>
      <c r="L742" t="s">
        <v>473</v>
      </c>
      <c r="M742" t="s">
        <v>476</v>
      </c>
      <c r="O742" t="s">
        <v>503</v>
      </c>
      <c r="P742" t="s">
        <v>474</v>
      </c>
    </row>
    <row r="743" spans="1:16" x14ac:dyDescent="0.3">
      <c r="A743" t="s">
        <v>1044</v>
      </c>
      <c r="B743" t="s">
        <v>67</v>
      </c>
      <c r="C743" s="51">
        <v>46302.938194444447</v>
      </c>
      <c r="D743" s="51">
        <v>46300.705555555556</v>
      </c>
      <c r="E743" t="s">
        <v>87</v>
      </c>
      <c r="F743" t="s">
        <v>48</v>
      </c>
      <c r="G743" t="s">
        <v>49</v>
      </c>
      <c r="H743" t="s">
        <v>68</v>
      </c>
      <c r="I743" t="s">
        <v>69</v>
      </c>
      <c r="J743" t="s">
        <v>70</v>
      </c>
      <c r="K743" t="s">
        <v>469</v>
      </c>
      <c r="L743" t="s">
        <v>470</v>
      </c>
      <c r="M743" t="s">
        <v>471</v>
      </c>
      <c r="N743">
        <v>15740820</v>
      </c>
      <c r="O743" t="s">
        <v>52</v>
      </c>
      <c r="P743" t="s">
        <v>472</v>
      </c>
    </row>
    <row r="744" spans="1:16" x14ac:dyDescent="0.3">
      <c r="A744" t="s">
        <v>1045</v>
      </c>
      <c r="B744" t="s">
        <v>79</v>
      </c>
      <c r="C744" s="51">
        <v>46302.559027777781</v>
      </c>
      <c r="D744" s="51">
        <v>46300.688888888886</v>
      </c>
      <c r="E744" t="s">
        <v>87</v>
      </c>
      <c r="F744" t="s">
        <v>77</v>
      </c>
      <c r="G744" t="s">
        <v>78</v>
      </c>
      <c r="H744" t="s">
        <v>80</v>
      </c>
      <c r="I744" t="s">
        <v>81</v>
      </c>
      <c r="J744" t="s">
        <v>55</v>
      </c>
      <c r="K744" t="s">
        <v>482</v>
      </c>
      <c r="L744" t="s">
        <v>473</v>
      </c>
      <c r="M744" t="s">
        <v>528</v>
      </c>
      <c r="O744" t="s">
        <v>153</v>
      </c>
      <c r="P744" t="s">
        <v>474</v>
      </c>
    </row>
    <row r="745" spans="1:16" x14ac:dyDescent="0.3">
      <c r="A745" t="s">
        <v>1046</v>
      </c>
      <c r="B745" t="s">
        <v>47</v>
      </c>
      <c r="C745" s="51">
        <v>46308.627083333333</v>
      </c>
      <c r="D745" s="51">
        <v>46300.6875</v>
      </c>
      <c r="E745" t="s">
        <v>87</v>
      </c>
      <c r="F745" t="s">
        <v>48</v>
      </c>
      <c r="G745" t="s">
        <v>49</v>
      </c>
      <c r="H745" t="s">
        <v>50</v>
      </c>
      <c r="I745" t="s">
        <v>66</v>
      </c>
      <c r="J745" t="s">
        <v>51</v>
      </c>
      <c r="K745" t="s">
        <v>469</v>
      </c>
      <c r="L745" t="s">
        <v>470</v>
      </c>
      <c r="M745" t="s">
        <v>485</v>
      </c>
      <c r="O745" t="s">
        <v>52</v>
      </c>
      <c r="P745" t="s">
        <v>472</v>
      </c>
    </row>
    <row r="746" spans="1:16" x14ac:dyDescent="0.3">
      <c r="A746" t="s">
        <v>1047</v>
      </c>
      <c r="B746" t="s">
        <v>62</v>
      </c>
      <c r="C746" s="51">
        <v>46301.708333333336</v>
      </c>
      <c r="D746" s="51">
        <v>46300.665277777778</v>
      </c>
      <c r="E746" t="s">
        <v>87</v>
      </c>
      <c r="F746" t="s">
        <v>53</v>
      </c>
      <c r="G746" t="s">
        <v>54</v>
      </c>
      <c r="H746" t="s">
        <v>63</v>
      </c>
      <c r="I746" t="s">
        <v>64</v>
      </c>
      <c r="J746" t="s">
        <v>65</v>
      </c>
      <c r="K746" t="s">
        <v>481</v>
      </c>
      <c r="L746" t="s">
        <v>470</v>
      </c>
      <c r="M746" t="s">
        <v>471</v>
      </c>
      <c r="O746" t="s">
        <v>52</v>
      </c>
      <c r="P746" t="s">
        <v>472</v>
      </c>
    </row>
    <row r="747" spans="1:16" x14ac:dyDescent="0.3">
      <c r="A747" t="s">
        <v>1048</v>
      </c>
      <c r="B747" t="s">
        <v>74</v>
      </c>
      <c r="C747" s="51">
        <v>46307.938194444447</v>
      </c>
      <c r="D747" s="51">
        <v>46300.665277777778</v>
      </c>
      <c r="E747" t="s">
        <v>87</v>
      </c>
      <c r="F747" t="s">
        <v>48</v>
      </c>
      <c r="G747" t="s">
        <v>49</v>
      </c>
      <c r="H747" t="s">
        <v>75</v>
      </c>
      <c r="I747" t="s">
        <v>86</v>
      </c>
      <c r="J747" t="s">
        <v>70</v>
      </c>
      <c r="K747" t="s">
        <v>469</v>
      </c>
      <c r="L747" t="s">
        <v>470</v>
      </c>
      <c r="M747" t="s">
        <v>471</v>
      </c>
      <c r="N747">
        <v>15735432</v>
      </c>
      <c r="O747" t="s">
        <v>52</v>
      </c>
      <c r="P747" t="s">
        <v>472</v>
      </c>
    </row>
    <row r="748" spans="1:16" x14ac:dyDescent="0.3">
      <c r="A748" t="s">
        <v>1049</v>
      </c>
      <c r="B748" t="s">
        <v>74</v>
      </c>
      <c r="C748" s="51">
        <v>46301.75</v>
      </c>
      <c r="D748" s="51">
        <v>46300.663888888892</v>
      </c>
      <c r="E748" t="s">
        <v>87</v>
      </c>
      <c r="F748" t="s">
        <v>48</v>
      </c>
      <c r="G748" t="s">
        <v>49</v>
      </c>
      <c r="H748" t="s">
        <v>75</v>
      </c>
      <c r="I748" t="s">
        <v>139</v>
      </c>
      <c r="J748" t="s">
        <v>70</v>
      </c>
      <c r="K748" t="s">
        <v>469</v>
      </c>
      <c r="L748" t="s">
        <v>470</v>
      </c>
      <c r="M748" t="s">
        <v>471</v>
      </c>
      <c r="O748" t="s">
        <v>52</v>
      </c>
      <c r="P748" t="s">
        <v>472</v>
      </c>
    </row>
    <row r="749" spans="1:16" x14ac:dyDescent="0.3">
      <c r="A749" t="s">
        <v>1050</v>
      </c>
      <c r="B749" t="s">
        <v>74</v>
      </c>
      <c r="C749" s="51">
        <v>46302.938194444447</v>
      </c>
      <c r="D749" s="51">
        <v>46300.656944444447</v>
      </c>
      <c r="E749" t="s">
        <v>87</v>
      </c>
      <c r="F749" t="s">
        <v>48</v>
      </c>
      <c r="G749" t="s">
        <v>49</v>
      </c>
      <c r="H749" t="s">
        <v>75</v>
      </c>
      <c r="I749" t="s">
        <v>76</v>
      </c>
      <c r="J749" t="s">
        <v>70</v>
      </c>
      <c r="K749" t="s">
        <v>469</v>
      </c>
      <c r="L749" t="s">
        <v>470</v>
      </c>
      <c r="M749" t="s">
        <v>471</v>
      </c>
      <c r="N749">
        <v>15735440</v>
      </c>
      <c r="O749" t="s">
        <v>52</v>
      </c>
      <c r="P749" t="s">
        <v>472</v>
      </c>
    </row>
    <row r="750" spans="1:16" x14ac:dyDescent="0.3">
      <c r="A750" t="s">
        <v>1051</v>
      </c>
      <c r="B750" t="s">
        <v>71</v>
      </c>
      <c r="C750" s="51">
        <v>46302.938194444447</v>
      </c>
      <c r="D750" s="51">
        <v>46300.636111111111</v>
      </c>
      <c r="E750" t="s">
        <v>87</v>
      </c>
      <c r="F750" t="s">
        <v>48</v>
      </c>
      <c r="G750" t="s">
        <v>49</v>
      </c>
      <c r="H750" t="s">
        <v>72</v>
      </c>
      <c r="I750" t="s">
        <v>73</v>
      </c>
      <c r="J750" t="s">
        <v>70</v>
      </c>
      <c r="K750" t="s">
        <v>469</v>
      </c>
      <c r="L750" t="s">
        <v>470</v>
      </c>
      <c r="M750" t="s">
        <v>471</v>
      </c>
      <c r="N750">
        <v>15735442</v>
      </c>
      <c r="O750" t="s">
        <v>52</v>
      </c>
      <c r="P750" t="s">
        <v>472</v>
      </c>
    </row>
    <row r="751" spans="1:16" x14ac:dyDescent="0.3">
      <c r="A751" t="s">
        <v>1052</v>
      </c>
      <c r="B751" t="s">
        <v>67</v>
      </c>
      <c r="C751" s="51">
        <v>46302.938194444447</v>
      </c>
      <c r="D751" s="51">
        <v>46300.626388888886</v>
      </c>
      <c r="E751" t="s">
        <v>87</v>
      </c>
      <c r="F751" t="s">
        <v>48</v>
      </c>
      <c r="G751" t="s">
        <v>49</v>
      </c>
      <c r="H751" t="s">
        <v>68</v>
      </c>
      <c r="I751" t="s">
        <v>69</v>
      </c>
      <c r="J751" t="s">
        <v>70</v>
      </c>
      <c r="K751" t="s">
        <v>469</v>
      </c>
      <c r="L751" t="s">
        <v>470</v>
      </c>
      <c r="M751" t="s">
        <v>471</v>
      </c>
      <c r="N751">
        <v>15735446</v>
      </c>
      <c r="O751" t="s">
        <v>52</v>
      </c>
      <c r="P751" t="s">
        <v>472</v>
      </c>
    </row>
    <row r="752" spans="1:16" x14ac:dyDescent="0.3">
      <c r="A752" t="s">
        <v>1053</v>
      </c>
      <c r="B752" t="s">
        <v>67</v>
      </c>
      <c r="C752" s="51">
        <v>46302.9375</v>
      </c>
      <c r="D752" s="51">
        <v>46300.626388888886</v>
      </c>
      <c r="E752" t="s">
        <v>87</v>
      </c>
      <c r="F752" t="s">
        <v>48</v>
      </c>
      <c r="G752" t="s">
        <v>49</v>
      </c>
      <c r="H752" t="s">
        <v>68</v>
      </c>
      <c r="I752" t="s">
        <v>69</v>
      </c>
      <c r="J752" t="s">
        <v>70</v>
      </c>
      <c r="K752" t="s">
        <v>469</v>
      </c>
      <c r="L752" t="s">
        <v>470</v>
      </c>
      <c r="M752" t="s">
        <v>471</v>
      </c>
      <c r="N752">
        <v>15735450</v>
      </c>
      <c r="O752" t="s">
        <v>52</v>
      </c>
      <c r="P752" t="s">
        <v>472</v>
      </c>
    </row>
    <row r="753" spans="1:16" x14ac:dyDescent="0.3">
      <c r="A753" t="s">
        <v>1054</v>
      </c>
      <c r="B753" t="s">
        <v>67</v>
      </c>
      <c r="C753" s="51">
        <v>46303.9375</v>
      </c>
      <c r="D753" s="51">
        <v>46300.621527777781</v>
      </c>
      <c r="E753" t="s">
        <v>87</v>
      </c>
      <c r="F753" t="s">
        <v>48</v>
      </c>
      <c r="G753" t="s">
        <v>49</v>
      </c>
      <c r="H753" t="s">
        <v>68</v>
      </c>
      <c r="I753" t="s">
        <v>69</v>
      </c>
      <c r="J753" t="s">
        <v>70</v>
      </c>
      <c r="K753" t="s">
        <v>469</v>
      </c>
      <c r="L753" t="s">
        <v>470</v>
      </c>
      <c r="M753" t="s">
        <v>471</v>
      </c>
      <c r="N753">
        <v>15735452</v>
      </c>
      <c r="O753" t="s">
        <v>52</v>
      </c>
      <c r="P753" t="s">
        <v>472</v>
      </c>
    </row>
    <row r="754" spans="1:16" x14ac:dyDescent="0.3">
      <c r="A754" t="s">
        <v>1055</v>
      </c>
      <c r="B754" t="s">
        <v>67</v>
      </c>
      <c r="C754" s="51">
        <v>46303.938194444447</v>
      </c>
      <c r="D754" s="51">
        <v>46300.621527777781</v>
      </c>
      <c r="E754" t="s">
        <v>87</v>
      </c>
      <c r="F754" t="s">
        <v>48</v>
      </c>
      <c r="G754" t="s">
        <v>49</v>
      </c>
      <c r="H754" t="s">
        <v>68</v>
      </c>
      <c r="I754" t="s">
        <v>69</v>
      </c>
      <c r="J754" t="s">
        <v>70</v>
      </c>
      <c r="K754" t="s">
        <v>469</v>
      </c>
      <c r="L754" t="s">
        <v>470</v>
      </c>
      <c r="M754" t="s">
        <v>471</v>
      </c>
      <c r="N754">
        <v>15735456</v>
      </c>
      <c r="O754" t="s">
        <v>52</v>
      </c>
      <c r="P754" t="s">
        <v>472</v>
      </c>
    </row>
    <row r="755" spans="1:16" x14ac:dyDescent="0.3">
      <c r="A755" t="s">
        <v>1056</v>
      </c>
      <c r="B755" t="s">
        <v>71</v>
      </c>
      <c r="C755" s="51">
        <v>46302.938194444447</v>
      </c>
      <c r="D755" s="51">
        <v>46300.620138888888</v>
      </c>
      <c r="E755" t="s">
        <v>87</v>
      </c>
      <c r="F755" t="s">
        <v>48</v>
      </c>
      <c r="G755" t="s">
        <v>49</v>
      </c>
      <c r="H755" t="s">
        <v>72</v>
      </c>
      <c r="I755" t="s">
        <v>73</v>
      </c>
      <c r="J755" t="s">
        <v>70</v>
      </c>
      <c r="K755" t="s">
        <v>469</v>
      </c>
      <c r="L755" t="s">
        <v>470</v>
      </c>
      <c r="M755" t="s">
        <v>471</v>
      </c>
      <c r="N755">
        <v>15735458</v>
      </c>
      <c r="O755" t="s">
        <v>52</v>
      </c>
      <c r="P755" t="s">
        <v>472</v>
      </c>
    </row>
    <row r="756" spans="1:16" x14ac:dyDescent="0.3">
      <c r="A756" t="s">
        <v>1057</v>
      </c>
      <c r="B756" t="s">
        <v>120</v>
      </c>
      <c r="C756" s="51">
        <v>46302.938194444447</v>
      </c>
      <c r="D756" s="51">
        <v>46300.620138888888</v>
      </c>
      <c r="E756" t="s">
        <v>87</v>
      </c>
      <c r="F756" t="s">
        <v>48</v>
      </c>
      <c r="G756" t="s">
        <v>49</v>
      </c>
      <c r="H756" t="s">
        <v>121</v>
      </c>
      <c r="I756" t="s">
        <v>82</v>
      </c>
      <c r="J756" t="s">
        <v>51</v>
      </c>
      <c r="K756" t="s">
        <v>469</v>
      </c>
      <c r="L756" t="s">
        <v>470</v>
      </c>
      <c r="M756" t="s">
        <v>471</v>
      </c>
      <c r="N756">
        <v>15735462</v>
      </c>
      <c r="O756" t="s">
        <v>52</v>
      </c>
      <c r="P756" t="s">
        <v>472</v>
      </c>
    </row>
    <row r="757" spans="1:16" x14ac:dyDescent="0.3">
      <c r="A757" t="s">
        <v>1058</v>
      </c>
      <c r="B757" t="s">
        <v>74</v>
      </c>
      <c r="C757" s="51">
        <v>46302.770833333336</v>
      </c>
      <c r="D757" s="51">
        <v>46300.620138888888</v>
      </c>
      <c r="E757" t="s">
        <v>87</v>
      </c>
      <c r="F757" t="s">
        <v>48</v>
      </c>
      <c r="G757" t="s">
        <v>49</v>
      </c>
      <c r="H757" t="s">
        <v>75</v>
      </c>
      <c r="I757" t="s">
        <v>76</v>
      </c>
      <c r="J757" t="s">
        <v>70</v>
      </c>
      <c r="K757" t="s">
        <v>469</v>
      </c>
      <c r="L757" t="s">
        <v>470</v>
      </c>
      <c r="M757" t="s">
        <v>471</v>
      </c>
      <c r="N757">
        <v>15735464</v>
      </c>
      <c r="O757" t="s">
        <v>52</v>
      </c>
      <c r="P757" t="s">
        <v>472</v>
      </c>
    </row>
    <row r="758" spans="1:16" x14ac:dyDescent="0.3">
      <c r="A758" t="s">
        <v>1059</v>
      </c>
      <c r="B758" t="s">
        <v>47</v>
      </c>
      <c r="C758" s="51">
        <v>46302.771527777775</v>
      </c>
      <c r="D758" s="51">
        <v>46300.620138888888</v>
      </c>
      <c r="E758" t="s">
        <v>87</v>
      </c>
      <c r="F758" t="s">
        <v>48</v>
      </c>
      <c r="G758" t="s">
        <v>49</v>
      </c>
      <c r="H758" t="s">
        <v>50</v>
      </c>
      <c r="I758" t="s">
        <v>149</v>
      </c>
      <c r="J758" t="s">
        <v>51</v>
      </c>
      <c r="K758" t="s">
        <v>469</v>
      </c>
      <c r="L758" t="s">
        <v>470</v>
      </c>
      <c r="M758" t="s">
        <v>471</v>
      </c>
      <c r="N758">
        <v>15740806</v>
      </c>
      <c r="O758" t="s">
        <v>52</v>
      </c>
      <c r="P758" t="s">
        <v>472</v>
      </c>
    </row>
    <row r="759" spans="1:16" x14ac:dyDescent="0.3">
      <c r="A759" t="s">
        <v>1060</v>
      </c>
      <c r="B759" t="s">
        <v>71</v>
      </c>
      <c r="C759" s="51">
        <v>46302.938194444447</v>
      </c>
      <c r="D759" s="51">
        <v>46300.620138888888</v>
      </c>
      <c r="E759" t="s">
        <v>87</v>
      </c>
      <c r="F759" t="s">
        <v>48</v>
      </c>
      <c r="G759" t="s">
        <v>49</v>
      </c>
      <c r="H759" t="s">
        <v>72</v>
      </c>
      <c r="I759" t="s">
        <v>73</v>
      </c>
      <c r="J759" t="s">
        <v>70</v>
      </c>
      <c r="K759" t="s">
        <v>469</v>
      </c>
      <c r="L759" t="s">
        <v>470</v>
      </c>
      <c r="M759" t="s">
        <v>471</v>
      </c>
      <c r="N759">
        <v>15735468</v>
      </c>
      <c r="O759" t="s">
        <v>52</v>
      </c>
      <c r="P759" t="s">
        <v>472</v>
      </c>
    </row>
    <row r="760" spans="1:16" x14ac:dyDescent="0.3">
      <c r="A760" t="s">
        <v>1061</v>
      </c>
      <c r="B760" t="s">
        <v>71</v>
      </c>
      <c r="C760" s="51">
        <v>46302.938194444447</v>
      </c>
      <c r="D760" s="51">
        <v>46300.617361111108</v>
      </c>
      <c r="E760" t="s">
        <v>87</v>
      </c>
      <c r="F760" t="s">
        <v>48</v>
      </c>
      <c r="G760" t="s">
        <v>49</v>
      </c>
      <c r="H760" t="s">
        <v>72</v>
      </c>
      <c r="I760" t="s">
        <v>73</v>
      </c>
      <c r="J760" t="s">
        <v>70</v>
      </c>
      <c r="K760" t="s">
        <v>469</v>
      </c>
      <c r="L760" t="s">
        <v>470</v>
      </c>
      <c r="M760" t="s">
        <v>471</v>
      </c>
      <c r="N760">
        <v>15735474</v>
      </c>
      <c r="O760" t="s">
        <v>52</v>
      </c>
      <c r="P760" t="s">
        <v>472</v>
      </c>
    </row>
    <row r="761" spans="1:16" x14ac:dyDescent="0.3">
      <c r="A761" t="s">
        <v>1062</v>
      </c>
      <c r="B761" t="s">
        <v>71</v>
      </c>
      <c r="C761" s="51">
        <v>46302.938194444447</v>
      </c>
      <c r="D761" s="51">
        <v>46300.617361111108</v>
      </c>
      <c r="E761" t="s">
        <v>87</v>
      </c>
      <c r="F761" t="s">
        <v>48</v>
      </c>
      <c r="G761" t="s">
        <v>49</v>
      </c>
      <c r="H761" t="s">
        <v>72</v>
      </c>
      <c r="I761" t="s">
        <v>73</v>
      </c>
      <c r="J761" t="s">
        <v>70</v>
      </c>
      <c r="K761" t="s">
        <v>469</v>
      </c>
      <c r="L761" t="s">
        <v>470</v>
      </c>
      <c r="M761" t="s">
        <v>471</v>
      </c>
      <c r="N761">
        <v>15735482</v>
      </c>
      <c r="O761" t="s">
        <v>52</v>
      </c>
      <c r="P761" t="s">
        <v>472</v>
      </c>
    </row>
    <row r="762" spans="1:16" x14ac:dyDescent="0.3">
      <c r="A762" t="s">
        <v>1063</v>
      </c>
      <c r="B762" t="s">
        <v>74</v>
      </c>
      <c r="C762" s="51">
        <v>46303.938194444447</v>
      </c>
      <c r="D762" s="51">
        <v>46300.617361111108</v>
      </c>
      <c r="E762" t="s">
        <v>87</v>
      </c>
      <c r="F762" t="s">
        <v>48</v>
      </c>
      <c r="G762" t="s">
        <v>49</v>
      </c>
      <c r="H762" t="s">
        <v>75</v>
      </c>
      <c r="I762" t="s">
        <v>76</v>
      </c>
      <c r="J762" t="s">
        <v>70</v>
      </c>
      <c r="K762" t="s">
        <v>469</v>
      </c>
      <c r="L762" t="s">
        <v>470</v>
      </c>
      <c r="M762" t="s">
        <v>471</v>
      </c>
      <c r="N762">
        <v>15735476</v>
      </c>
      <c r="O762" t="s">
        <v>52</v>
      </c>
      <c r="P762" t="s">
        <v>472</v>
      </c>
    </row>
    <row r="763" spans="1:16" x14ac:dyDescent="0.3">
      <c r="A763" t="s">
        <v>1064</v>
      </c>
      <c r="B763" t="s">
        <v>67</v>
      </c>
      <c r="C763" s="51">
        <v>46302.938194444447</v>
      </c>
      <c r="D763" s="51">
        <v>46300.600694444445</v>
      </c>
      <c r="E763" t="s">
        <v>87</v>
      </c>
      <c r="F763" t="s">
        <v>48</v>
      </c>
      <c r="G763" t="s">
        <v>49</v>
      </c>
      <c r="H763" t="s">
        <v>68</v>
      </c>
      <c r="I763" t="s">
        <v>69</v>
      </c>
      <c r="J763" t="s">
        <v>70</v>
      </c>
      <c r="K763" t="s">
        <v>469</v>
      </c>
      <c r="L763" t="s">
        <v>470</v>
      </c>
      <c r="M763" t="s">
        <v>471</v>
      </c>
      <c r="N763">
        <v>15735484</v>
      </c>
      <c r="O763" t="s">
        <v>52</v>
      </c>
      <c r="P763" t="s">
        <v>472</v>
      </c>
    </row>
    <row r="764" spans="1:16" x14ac:dyDescent="0.3">
      <c r="A764" t="s">
        <v>1065</v>
      </c>
      <c r="B764" t="s">
        <v>71</v>
      </c>
      <c r="C764" s="51">
        <v>46302.938194444447</v>
      </c>
      <c r="D764" s="51">
        <v>46300.600694444445</v>
      </c>
      <c r="E764" t="s">
        <v>87</v>
      </c>
      <c r="F764" t="s">
        <v>48</v>
      </c>
      <c r="G764" t="s">
        <v>49</v>
      </c>
      <c r="H764" t="s">
        <v>72</v>
      </c>
      <c r="I764" t="s">
        <v>73</v>
      </c>
      <c r="J764" t="s">
        <v>70</v>
      </c>
      <c r="K764" t="s">
        <v>469</v>
      </c>
      <c r="L764" t="s">
        <v>470</v>
      </c>
      <c r="M764" t="s">
        <v>471</v>
      </c>
      <c r="N764">
        <v>15735488</v>
      </c>
      <c r="O764" t="s">
        <v>52</v>
      </c>
      <c r="P764" t="s">
        <v>472</v>
      </c>
    </row>
    <row r="765" spans="1:16" x14ac:dyDescent="0.3">
      <c r="A765" t="s">
        <v>1066</v>
      </c>
      <c r="B765" t="s">
        <v>74</v>
      </c>
      <c r="C765" s="51">
        <v>46307.938194444447</v>
      </c>
      <c r="D765" s="51">
        <v>46300.600694444445</v>
      </c>
      <c r="E765" t="s">
        <v>87</v>
      </c>
      <c r="F765" t="s">
        <v>48</v>
      </c>
      <c r="G765" t="s">
        <v>49</v>
      </c>
      <c r="H765" t="s">
        <v>75</v>
      </c>
      <c r="I765" t="s">
        <v>86</v>
      </c>
      <c r="J765" t="s">
        <v>70</v>
      </c>
      <c r="K765" t="s">
        <v>469</v>
      </c>
      <c r="L765" t="s">
        <v>470</v>
      </c>
      <c r="M765" t="s">
        <v>471</v>
      </c>
      <c r="N765">
        <v>15735490</v>
      </c>
      <c r="O765" t="s">
        <v>52</v>
      </c>
      <c r="P765" t="s">
        <v>472</v>
      </c>
    </row>
    <row r="766" spans="1:16" x14ac:dyDescent="0.3">
      <c r="A766" t="s">
        <v>1067</v>
      </c>
      <c r="B766" t="s">
        <v>62</v>
      </c>
      <c r="C766" s="51">
        <v>46302.5</v>
      </c>
      <c r="D766" s="51">
        <v>46300.600694444445</v>
      </c>
      <c r="E766" t="s">
        <v>87</v>
      </c>
      <c r="F766" t="s">
        <v>53</v>
      </c>
      <c r="G766" t="s">
        <v>54</v>
      </c>
      <c r="H766" t="s">
        <v>63</v>
      </c>
      <c r="I766" t="s">
        <v>64</v>
      </c>
      <c r="J766" t="s">
        <v>65</v>
      </c>
      <c r="K766" t="s">
        <v>481</v>
      </c>
      <c r="L766" t="s">
        <v>470</v>
      </c>
      <c r="M766" t="s">
        <v>471</v>
      </c>
      <c r="O766" t="s">
        <v>52</v>
      </c>
      <c r="P766" t="s">
        <v>472</v>
      </c>
    </row>
    <row r="767" spans="1:16" x14ac:dyDescent="0.3">
      <c r="A767" t="s">
        <v>1068</v>
      </c>
      <c r="B767" t="s">
        <v>62</v>
      </c>
      <c r="C767" s="51">
        <v>46302.5</v>
      </c>
      <c r="D767" s="51">
        <v>46300.600694444445</v>
      </c>
      <c r="E767" t="s">
        <v>87</v>
      </c>
      <c r="F767" t="s">
        <v>53</v>
      </c>
      <c r="G767" t="s">
        <v>54</v>
      </c>
      <c r="H767" t="s">
        <v>63</v>
      </c>
      <c r="I767" t="s">
        <v>64</v>
      </c>
      <c r="J767" t="s">
        <v>65</v>
      </c>
      <c r="K767" t="s">
        <v>481</v>
      </c>
      <c r="L767" t="s">
        <v>470</v>
      </c>
      <c r="M767" t="s">
        <v>471</v>
      </c>
      <c r="O767" t="s">
        <v>52</v>
      </c>
      <c r="P767" t="s">
        <v>472</v>
      </c>
    </row>
    <row r="768" spans="1:16" x14ac:dyDescent="0.3">
      <c r="A768" t="s">
        <v>1069</v>
      </c>
      <c r="B768" t="s">
        <v>62</v>
      </c>
      <c r="C768" s="51">
        <v>46302.5</v>
      </c>
      <c r="D768" s="51">
        <v>46300.600694444445</v>
      </c>
      <c r="E768" t="s">
        <v>87</v>
      </c>
      <c r="F768" t="s">
        <v>53</v>
      </c>
      <c r="G768" t="s">
        <v>54</v>
      </c>
      <c r="H768" t="s">
        <v>63</v>
      </c>
      <c r="I768" t="s">
        <v>64</v>
      </c>
      <c r="J768" t="s">
        <v>65</v>
      </c>
      <c r="K768" t="s">
        <v>481</v>
      </c>
      <c r="L768" t="s">
        <v>470</v>
      </c>
      <c r="M768" t="s">
        <v>471</v>
      </c>
      <c r="O768" t="s">
        <v>52</v>
      </c>
      <c r="P768" t="s">
        <v>472</v>
      </c>
    </row>
    <row r="769" spans="1:16" x14ac:dyDescent="0.3">
      <c r="A769" t="s">
        <v>1070</v>
      </c>
      <c r="B769" t="s">
        <v>62</v>
      </c>
      <c r="C769" s="51">
        <v>46302.541666666664</v>
      </c>
      <c r="D769" s="51">
        <v>46300.600694444445</v>
      </c>
      <c r="E769" t="s">
        <v>87</v>
      </c>
      <c r="F769" t="s">
        <v>53</v>
      </c>
      <c r="G769" t="s">
        <v>54</v>
      </c>
      <c r="H769" t="s">
        <v>63</v>
      </c>
      <c r="I769" t="s">
        <v>64</v>
      </c>
      <c r="J769" t="s">
        <v>65</v>
      </c>
      <c r="K769" t="s">
        <v>481</v>
      </c>
      <c r="L769" t="s">
        <v>470</v>
      </c>
      <c r="M769" t="s">
        <v>471</v>
      </c>
      <c r="O769" t="s">
        <v>52</v>
      </c>
      <c r="P769" t="s">
        <v>472</v>
      </c>
    </row>
    <row r="770" spans="1:16" x14ac:dyDescent="0.3">
      <c r="A770" t="s">
        <v>1071</v>
      </c>
      <c r="B770" t="s">
        <v>62</v>
      </c>
      <c r="C770" s="51">
        <v>46302.5</v>
      </c>
      <c r="D770" s="51">
        <v>46300.600694444445</v>
      </c>
      <c r="E770" t="s">
        <v>87</v>
      </c>
      <c r="F770" t="s">
        <v>53</v>
      </c>
      <c r="G770" t="s">
        <v>54</v>
      </c>
      <c r="H770" t="s">
        <v>63</v>
      </c>
      <c r="I770" t="s">
        <v>64</v>
      </c>
      <c r="J770" t="s">
        <v>65</v>
      </c>
      <c r="K770" t="s">
        <v>481</v>
      </c>
      <c r="L770" t="s">
        <v>470</v>
      </c>
      <c r="M770" t="s">
        <v>471</v>
      </c>
      <c r="O770" t="s">
        <v>52</v>
      </c>
      <c r="P770" t="s">
        <v>472</v>
      </c>
    </row>
    <row r="771" spans="1:16" x14ac:dyDescent="0.3">
      <c r="A771" t="s">
        <v>1072</v>
      </c>
      <c r="B771" t="s">
        <v>62</v>
      </c>
      <c r="C771" s="51">
        <v>46302.5</v>
      </c>
      <c r="D771" s="51">
        <v>46300.600694444445</v>
      </c>
      <c r="E771" t="s">
        <v>87</v>
      </c>
      <c r="F771" t="s">
        <v>53</v>
      </c>
      <c r="G771" t="s">
        <v>54</v>
      </c>
      <c r="H771" t="s">
        <v>63</v>
      </c>
      <c r="I771" t="s">
        <v>64</v>
      </c>
      <c r="J771" t="s">
        <v>65</v>
      </c>
      <c r="K771" t="s">
        <v>481</v>
      </c>
      <c r="L771" t="s">
        <v>470</v>
      </c>
      <c r="M771" t="s">
        <v>471</v>
      </c>
      <c r="O771" t="s">
        <v>52</v>
      </c>
      <c r="P771" t="s">
        <v>472</v>
      </c>
    </row>
    <row r="772" spans="1:16" x14ac:dyDescent="0.3">
      <c r="A772" t="s">
        <v>1073</v>
      </c>
      <c r="B772" t="s">
        <v>62</v>
      </c>
      <c r="C772" s="51">
        <v>46302.5</v>
      </c>
      <c r="D772" s="51">
        <v>46300.600694444445</v>
      </c>
      <c r="E772" t="s">
        <v>87</v>
      </c>
      <c r="F772" t="s">
        <v>53</v>
      </c>
      <c r="G772" t="s">
        <v>54</v>
      </c>
      <c r="H772" t="s">
        <v>63</v>
      </c>
      <c r="I772" t="s">
        <v>64</v>
      </c>
      <c r="J772" t="s">
        <v>65</v>
      </c>
      <c r="K772" t="s">
        <v>481</v>
      </c>
      <c r="L772" t="s">
        <v>470</v>
      </c>
      <c r="M772" t="s">
        <v>471</v>
      </c>
      <c r="O772" t="s">
        <v>52</v>
      </c>
      <c r="P772" t="s">
        <v>472</v>
      </c>
    </row>
    <row r="773" spans="1:16" x14ac:dyDescent="0.3">
      <c r="A773" t="s">
        <v>1074</v>
      </c>
      <c r="B773" t="s">
        <v>62</v>
      </c>
      <c r="C773" s="51">
        <v>46302.5</v>
      </c>
      <c r="D773" s="51">
        <v>46300.600694444445</v>
      </c>
      <c r="E773" t="s">
        <v>87</v>
      </c>
      <c r="F773" t="s">
        <v>53</v>
      </c>
      <c r="G773" t="s">
        <v>54</v>
      </c>
      <c r="H773" t="s">
        <v>63</v>
      </c>
      <c r="I773" t="s">
        <v>64</v>
      </c>
      <c r="J773" t="s">
        <v>65</v>
      </c>
      <c r="K773" t="s">
        <v>481</v>
      </c>
      <c r="L773" t="s">
        <v>470</v>
      </c>
      <c r="M773" t="s">
        <v>471</v>
      </c>
      <c r="O773" t="s">
        <v>52</v>
      </c>
      <c r="P773" t="s">
        <v>472</v>
      </c>
    </row>
    <row r="774" spans="1:16" x14ac:dyDescent="0.3">
      <c r="A774" t="s">
        <v>1075</v>
      </c>
      <c r="B774" t="s">
        <v>62</v>
      </c>
      <c r="C774" s="51">
        <v>46302.5</v>
      </c>
      <c r="D774" s="51">
        <v>46300.600694444445</v>
      </c>
      <c r="E774" t="s">
        <v>87</v>
      </c>
      <c r="F774" t="s">
        <v>53</v>
      </c>
      <c r="G774" t="s">
        <v>54</v>
      </c>
      <c r="H774" t="s">
        <v>63</v>
      </c>
      <c r="I774" t="s">
        <v>64</v>
      </c>
      <c r="J774" t="s">
        <v>65</v>
      </c>
      <c r="K774" t="s">
        <v>481</v>
      </c>
      <c r="L774" t="s">
        <v>470</v>
      </c>
      <c r="M774" t="s">
        <v>471</v>
      </c>
      <c r="O774" t="s">
        <v>52</v>
      </c>
      <c r="P774" t="s">
        <v>472</v>
      </c>
    </row>
    <row r="775" spans="1:16" x14ac:dyDescent="0.3">
      <c r="A775" t="s">
        <v>1077</v>
      </c>
      <c r="B775" t="s">
        <v>62</v>
      </c>
      <c r="C775" s="51">
        <v>46302.5</v>
      </c>
      <c r="D775" s="51">
        <v>46300.600694444445</v>
      </c>
      <c r="E775" t="s">
        <v>87</v>
      </c>
      <c r="F775" t="s">
        <v>53</v>
      </c>
      <c r="G775" t="s">
        <v>54</v>
      </c>
      <c r="H775" t="s">
        <v>63</v>
      </c>
      <c r="I775" t="s">
        <v>64</v>
      </c>
      <c r="J775" t="s">
        <v>65</v>
      </c>
      <c r="K775" t="s">
        <v>481</v>
      </c>
      <c r="L775" t="s">
        <v>470</v>
      </c>
      <c r="M775" t="s">
        <v>471</v>
      </c>
      <c r="O775" t="s">
        <v>52</v>
      </c>
      <c r="P775" t="s">
        <v>472</v>
      </c>
    </row>
    <row r="776" spans="1:16" x14ac:dyDescent="0.3">
      <c r="A776" t="s">
        <v>1076</v>
      </c>
      <c r="B776" t="s">
        <v>62</v>
      </c>
      <c r="C776" s="51">
        <v>46302.5</v>
      </c>
      <c r="D776" s="51">
        <v>46300.600694444445</v>
      </c>
      <c r="E776" t="s">
        <v>87</v>
      </c>
      <c r="F776" t="s">
        <v>53</v>
      </c>
      <c r="G776" t="s">
        <v>54</v>
      </c>
      <c r="H776" t="s">
        <v>63</v>
      </c>
      <c r="I776" t="s">
        <v>64</v>
      </c>
      <c r="J776" t="s">
        <v>65</v>
      </c>
      <c r="K776" t="s">
        <v>481</v>
      </c>
      <c r="L776" t="s">
        <v>470</v>
      </c>
      <c r="M776" t="s">
        <v>471</v>
      </c>
      <c r="O776" t="s">
        <v>52</v>
      </c>
      <c r="P776" t="s">
        <v>472</v>
      </c>
    </row>
    <row r="777" spans="1:16" x14ac:dyDescent="0.3">
      <c r="A777" t="s">
        <v>1078</v>
      </c>
      <c r="B777" t="s">
        <v>62</v>
      </c>
      <c r="C777" s="51">
        <v>46302.5</v>
      </c>
      <c r="D777" s="51">
        <v>46300.6</v>
      </c>
      <c r="E777" t="s">
        <v>87</v>
      </c>
      <c r="F777" t="s">
        <v>53</v>
      </c>
      <c r="G777" t="s">
        <v>54</v>
      </c>
      <c r="H777" t="s">
        <v>63</v>
      </c>
      <c r="I777" t="s">
        <v>64</v>
      </c>
      <c r="J777" t="s">
        <v>65</v>
      </c>
      <c r="K777" t="s">
        <v>481</v>
      </c>
      <c r="L777" t="s">
        <v>470</v>
      </c>
      <c r="M777" t="s">
        <v>471</v>
      </c>
      <c r="O777" t="s">
        <v>52</v>
      </c>
      <c r="P777" t="s">
        <v>472</v>
      </c>
    </row>
    <row r="778" spans="1:16" x14ac:dyDescent="0.3">
      <c r="A778" t="s">
        <v>1079</v>
      </c>
      <c r="B778" t="s">
        <v>62</v>
      </c>
      <c r="C778" s="51">
        <v>46302.5</v>
      </c>
      <c r="D778" s="51">
        <v>46300.6</v>
      </c>
      <c r="E778" t="s">
        <v>87</v>
      </c>
      <c r="F778" t="s">
        <v>53</v>
      </c>
      <c r="G778" t="s">
        <v>54</v>
      </c>
      <c r="H778" t="s">
        <v>63</v>
      </c>
      <c r="I778" t="s">
        <v>64</v>
      </c>
      <c r="J778" t="s">
        <v>65</v>
      </c>
      <c r="K778" t="s">
        <v>481</v>
      </c>
      <c r="L778" t="s">
        <v>470</v>
      </c>
      <c r="M778" t="s">
        <v>471</v>
      </c>
      <c r="O778" t="s">
        <v>52</v>
      </c>
      <c r="P778" t="s">
        <v>472</v>
      </c>
    </row>
    <row r="779" spans="1:16" x14ac:dyDescent="0.3">
      <c r="A779" t="s">
        <v>1081</v>
      </c>
      <c r="B779" t="s">
        <v>62</v>
      </c>
      <c r="C779" s="51">
        <v>46302.458333333336</v>
      </c>
      <c r="D779" s="51">
        <v>46300.6</v>
      </c>
      <c r="E779" t="s">
        <v>87</v>
      </c>
      <c r="F779" t="s">
        <v>53</v>
      </c>
      <c r="G779" t="s">
        <v>54</v>
      </c>
      <c r="H779" t="s">
        <v>63</v>
      </c>
      <c r="I779" t="s">
        <v>64</v>
      </c>
      <c r="J779" t="s">
        <v>65</v>
      </c>
      <c r="K779" t="s">
        <v>481</v>
      </c>
      <c r="L779" t="s">
        <v>470</v>
      </c>
      <c r="M779" t="s">
        <v>471</v>
      </c>
      <c r="O779" t="s">
        <v>52</v>
      </c>
      <c r="P779" t="s">
        <v>472</v>
      </c>
    </row>
    <row r="780" spans="1:16" x14ac:dyDescent="0.3">
      <c r="A780" t="s">
        <v>1080</v>
      </c>
      <c r="B780" t="s">
        <v>62</v>
      </c>
      <c r="C780" s="51">
        <v>46302.458333333336</v>
      </c>
      <c r="D780" s="51">
        <v>46300.6</v>
      </c>
      <c r="E780" t="s">
        <v>87</v>
      </c>
      <c r="F780" t="s">
        <v>53</v>
      </c>
      <c r="G780" t="s">
        <v>54</v>
      </c>
      <c r="H780" t="s">
        <v>63</v>
      </c>
      <c r="I780" t="s">
        <v>64</v>
      </c>
      <c r="J780" t="s">
        <v>65</v>
      </c>
      <c r="K780" t="s">
        <v>481</v>
      </c>
      <c r="L780" t="s">
        <v>470</v>
      </c>
      <c r="M780" t="s">
        <v>471</v>
      </c>
      <c r="O780" t="s">
        <v>52</v>
      </c>
      <c r="P780" t="s">
        <v>472</v>
      </c>
    </row>
    <row r="781" spans="1:16" x14ac:dyDescent="0.3">
      <c r="A781" t="s">
        <v>1082</v>
      </c>
      <c r="B781" t="s">
        <v>62</v>
      </c>
      <c r="C781" s="51">
        <v>46302.458333333336</v>
      </c>
      <c r="D781" s="51">
        <v>46300.599305555559</v>
      </c>
      <c r="E781" t="s">
        <v>87</v>
      </c>
      <c r="F781" t="s">
        <v>53</v>
      </c>
      <c r="G781" t="s">
        <v>54</v>
      </c>
      <c r="H781" t="s">
        <v>63</v>
      </c>
      <c r="I781" t="s">
        <v>64</v>
      </c>
      <c r="J781" t="s">
        <v>65</v>
      </c>
      <c r="K781" t="s">
        <v>481</v>
      </c>
      <c r="L781" t="s">
        <v>470</v>
      </c>
      <c r="M781" t="s">
        <v>471</v>
      </c>
      <c r="O781" t="s">
        <v>52</v>
      </c>
      <c r="P781" t="s">
        <v>472</v>
      </c>
    </row>
    <row r="782" spans="1:16" x14ac:dyDescent="0.3">
      <c r="A782" t="s">
        <v>1083</v>
      </c>
      <c r="B782" t="s">
        <v>62</v>
      </c>
      <c r="C782" s="51">
        <v>46302.458333333336</v>
      </c>
      <c r="D782" s="51">
        <v>46300.599305555559</v>
      </c>
      <c r="E782" t="s">
        <v>87</v>
      </c>
      <c r="F782" t="s">
        <v>53</v>
      </c>
      <c r="G782" t="s">
        <v>54</v>
      </c>
      <c r="H782" t="s">
        <v>63</v>
      </c>
      <c r="I782" t="s">
        <v>64</v>
      </c>
      <c r="J782" t="s">
        <v>65</v>
      </c>
      <c r="K782" t="s">
        <v>481</v>
      </c>
      <c r="L782" t="s">
        <v>470</v>
      </c>
      <c r="M782" t="s">
        <v>471</v>
      </c>
      <c r="O782" t="s">
        <v>52</v>
      </c>
      <c r="P782" t="s">
        <v>472</v>
      </c>
    </row>
    <row r="783" spans="1:16" x14ac:dyDescent="0.3">
      <c r="A783" t="s">
        <v>1084</v>
      </c>
      <c r="B783" t="s">
        <v>62</v>
      </c>
      <c r="C783" s="51">
        <v>46302.458333333336</v>
      </c>
      <c r="D783" s="51">
        <v>46300.599305555559</v>
      </c>
      <c r="E783" t="s">
        <v>87</v>
      </c>
      <c r="F783" t="s">
        <v>53</v>
      </c>
      <c r="G783" t="s">
        <v>54</v>
      </c>
      <c r="H783" t="s">
        <v>63</v>
      </c>
      <c r="I783" t="s">
        <v>64</v>
      </c>
      <c r="J783" t="s">
        <v>65</v>
      </c>
      <c r="K783" t="s">
        <v>481</v>
      </c>
      <c r="L783" t="s">
        <v>470</v>
      </c>
      <c r="M783" t="s">
        <v>471</v>
      </c>
      <c r="O783" t="s">
        <v>52</v>
      </c>
      <c r="P783" t="s">
        <v>472</v>
      </c>
    </row>
    <row r="784" spans="1:16" x14ac:dyDescent="0.3">
      <c r="A784" t="s">
        <v>1085</v>
      </c>
      <c r="B784" t="s">
        <v>62</v>
      </c>
      <c r="C784" s="51">
        <v>46302.458333333336</v>
      </c>
      <c r="D784" s="51">
        <v>46300.599305555559</v>
      </c>
      <c r="E784" t="s">
        <v>87</v>
      </c>
      <c r="F784" t="s">
        <v>53</v>
      </c>
      <c r="G784" t="s">
        <v>54</v>
      </c>
      <c r="H784" t="s">
        <v>63</v>
      </c>
      <c r="I784" t="s">
        <v>64</v>
      </c>
      <c r="J784" t="s">
        <v>65</v>
      </c>
      <c r="K784" t="s">
        <v>481</v>
      </c>
      <c r="L784" t="s">
        <v>470</v>
      </c>
      <c r="M784" t="s">
        <v>471</v>
      </c>
      <c r="O784" t="s">
        <v>52</v>
      </c>
      <c r="P784" t="s">
        <v>472</v>
      </c>
    </row>
    <row r="785" spans="1:16" x14ac:dyDescent="0.3">
      <c r="A785" t="s">
        <v>1086</v>
      </c>
      <c r="B785" t="s">
        <v>62</v>
      </c>
      <c r="C785" s="51">
        <v>46302.458333333336</v>
      </c>
      <c r="D785" s="51">
        <v>46300.598611111112</v>
      </c>
      <c r="E785" t="s">
        <v>87</v>
      </c>
      <c r="F785" t="s">
        <v>53</v>
      </c>
      <c r="G785" t="s">
        <v>54</v>
      </c>
      <c r="H785" t="s">
        <v>63</v>
      </c>
      <c r="I785" t="s">
        <v>64</v>
      </c>
      <c r="J785" t="s">
        <v>65</v>
      </c>
      <c r="K785" t="s">
        <v>481</v>
      </c>
      <c r="L785" t="s">
        <v>470</v>
      </c>
      <c r="M785" t="s">
        <v>471</v>
      </c>
      <c r="O785" t="s">
        <v>52</v>
      </c>
      <c r="P785" t="s">
        <v>472</v>
      </c>
    </row>
    <row r="786" spans="1:16" x14ac:dyDescent="0.3">
      <c r="A786" t="s">
        <v>1087</v>
      </c>
      <c r="B786" t="s">
        <v>62</v>
      </c>
      <c r="C786" s="51">
        <v>46302.458333333336</v>
      </c>
      <c r="D786" s="51">
        <v>46300.598611111112</v>
      </c>
      <c r="E786" t="s">
        <v>87</v>
      </c>
      <c r="F786" t="s">
        <v>53</v>
      </c>
      <c r="G786" t="s">
        <v>54</v>
      </c>
      <c r="H786" t="s">
        <v>63</v>
      </c>
      <c r="I786" t="s">
        <v>64</v>
      </c>
      <c r="J786" t="s">
        <v>65</v>
      </c>
      <c r="K786" t="s">
        <v>481</v>
      </c>
      <c r="L786" t="s">
        <v>470</v>
      </c>
      <c r="M786" t="s">
        <v>471</v>
      </c>
      <c r="O786" t="s">
        <v>52</v>
      </c>
      <c r="P786" t="s">
        <v>472</v>
      </c>
    </row>
    <row r="787" spans="1:16" x14ac:dyDescent="0.3">
      <c r="A787" t="s">
        <v>1088</v>
      </c>
      <c r="B787" t="s">
        <v>62</v>
      </c>
      <c r="C787" s="51">
        <v>46302.458333333336</v>
      </c>
      <c r="D787" s="51">
        <v>46300.598611111112</v>
      </c>
      <c r="E787" t="s">
        <v>87</v>
      </c>
      <c r="F787" t="s">
        <v>53</v>
      </c>
      <c r="G787" t="s">
        <v>54</v>
      </c>
      <c r="H787" t="s">
        <v>63</v>
      </c>
      <c r="I787" t="s">
        <v>64</v>
      </c>
      <c r="J787" t="s">
        <v>65</v>
      </c>
      <c r="K787" t="s">
        <v>481</v>
      </c>
      <c r="L787" t="s">
        <v>470</v>
      </c>
      <c r="M787" t="s">
        <v>471</v>
      </c>
      <c r="O787" t="s">
        <v>52</v>
      </c>
      <c r="P787" t="s">
        <v>472</v>
      </c>
    </row>
    <row r="788" spans="1:16" x14ac:dyDescent="0.3">
      <c r="A788" t="s">
        <v>1089</v>
      </c>
      <c r="B788" t="s">
        <v>62</v>
      </c>
      <c r="C788" s="51">
        <v>46302.458333333336</v>
      </c>
      <c r="D788" s="51">
        <v>46300.598611111112</v>
      </c>
      <c r="E788" t="s">
        <v>87</v>
      </c>
      <c r="F788" t="s">
        <v>53</v>
      </c>
      <c r="G788" t="s">
        <v>54</v>
      </c>
      <c r="H788" t="s">
        <v>63</v>
      </c>
      <c r="I788" t="s">
        <v>64</v>
      </c>
      <c r="J788" t="s">
        <v>65</v>
      </c>
      <c r="K788" t="s">
        <v>481</v>
      </c>
      <c r="L788" t="s">
        <v>470</v>
      </c>
      <c r="M788" t="s">
        <v>471</v>
      </c>
      <c r="O788" t="s">
        <v>52</v>
      </c>
      <c r="P788" t="s">
        <v>472</v>
      </c>
    </row>
    <row r="789" spans="1:16" x14ac:dyDescent="0.3">
      <c r="A789" t="s">
        <v>1090</v>
      </c>
      <c r="B789" t="s">
        <v>62</v>
      </c>
      <c r="C789" s="51">
        <v>46302.458333333336</v>
      </c>
      <c r="D789" s="51">
        <v>46300.598611111112</v>
      </c>
      <c r="E789" t="s">
        <v>87</v>
      </c>
      <c r="F789" t="s">
        <v>53</v>
      </c>
      <c r="G789" t="s">
        <v>54</v>
      </c>
      <c r="H789" t="s">
        <v>63</v>
      </c>
      <c r="I789" t="s">
        <v>64</v>
      </c>
      <c r="J789" t="s">
        <v>65</v>
      </c>
      <c r="K789" t="s">
        <v>481</v>
      </c>
      <c r="L789" t="s">
        <v>470</v>
      </c>
      <c r="M789" t="s">
        <v>471</v>
      </c>
      <c r="O789" t="s">
        <v>52</v>
      </c>
      <c r="P789" t="s">
        <v>472</v>
      </c>
    </row>
    <row r="790" spans="1:16" x14ac:dyDescent="0.3">
      <c r="A790" t="s">
        <v>1091</v>
      </c>
      <c r="B790" t="s">
        <v>62</v>
      </c>
      <c r="C790" s="51">
        <v>46302.458333333336</v>
      </c>
      <c r="D790" s="51">
        <v>46300.598611111112</v>
      </c>
      <c r="E790" t="s">
        <v>87</v>
      </c>
      <c r="F790" t="s">
        <v>53</v>
      </c>
      <c r="G790" t="s">
        <v>54</v>
      </c>
      <c r="H790" t="s">
        <v>63</v>
      </c>
      <c r="I790" t="s">
        <v>64</v>
      </c>
      <c r="J790" t="s">
        <v>65</v>
      </c>
      <c r="K790" t="s">
        <v>481</v>
      </c>
      <c r="L790" t="s">
        <v>470</v>
      </c>
      <c r="M790" t="s">
        <v>471</v>
      </c>
      <c r="O790" t="s">
        <v>52</v>
      </c>
      <c r="P790" t="s">
        <v>472</v>
      </c>
    </row>
    <row r="791" spans="1:16" x14ac:dyDescent="0.3">
      <c r="A791" t="s">
        <v>1092</v>
      </c>
      <c r="B791" t="s">
        <v>62</v>
      </c>
      <c r="C791" s="51">
        <v>46302.416666666664</v>
      </c>
      <c r="D791" s="51">
        <v>46300.585416666669</v>
      </c>
      <c r="E791" t="s">
        <v>87</v>
      </c>
      <c r="F791" t="s">
        <v>53</v>
      </c>
      <c r="G791" t="s">
        <v>54</v>
      </c>
      <c r="H791" t="s">
        <v>63</v>
      </c>
      <c r="I791" t="s">
        <v>64</v>
      </c>
      <c r="J791" t="s">
        <v>65</v>
      </c>
      <c r="K791" t="s">
        <v>481</v>
      </c>
      <c r="L791" t="s">
        <v>470</v>
      </c>
      <c r="M791" t="s">
        <v>471</v>
      </c>
      <c r="O791" t="s">
        <v>52</v>
      </c>
      <c r="P791" t="s">
        <v>472</v>
      </c>
    </row>
    <row r="792" spans="1:16" x14ac:dyDescent="0.3">
      <c r="A792" t="s">
        <v>1093</v>
      </c>
      <c r="B792" t="s">
        <v>152</v>
      </c>
      <c r="C792" s="51">
        <v>46301.583333333336</v>
      </c>
      <c r="D792" s="51">
        <v>46300.574999999997</v>
      </c>
      <c r="E792" t="s">
        <v>87</v>
      </c>
      <c r="F792" t="s">
        <v>53</v>
      </c>
      <c r="G792" t="s">
        <v>54</v>
      </c>
      <c r="H792" t="s">
        <v>63</v>
      </c>
      <c r="I792" t="s">
        <v>64</v>
      </c>
      <c r="J792" t="s">
        <v>65</v>
      </c>
      <c r="K792" t="s">
        <v>481</v>
      </c>
      <c r="L792" t="s">
        <v>473</v>
      </c>
      <c r="M792">
        <v>0</v>
      </c>
      <c r="O792" t="s">
        <v>503</v>
      </c>
      <c r="P792" t="s">
        <v>474</v>
      </c>
    </row>
    <row r="793" spans="1:16" x14ac:dyDescent="0.3">
      <c r="A793" t="s">
        <v>1094</v>
      </c>
      <c r="B793" t="s">
        <v>62</v>
      </c>
      <c r="C793" s="51">
        <v>46302.416666666664</v>
      </c>
      <c r="D793" s="51">
        <v>46300.570833333331</v>
      </c>
      <c r="E793" t="s">
        <v>87</v>
      </c>
      <c r="F793" t="s">
        <v>53</v>
      </c>
      <c r="G793" t="s">
        <v>54</v>
      </c>
      <c r="H793" t="s">
        <v>63</v>
      </c>
      <c r="I793" t="s">
        <v>64</v>
      </c>
      <c r="J793" t="s">
        <v>65</v>
      </c>
      <c r="K793" t="s">
        <v>481</v>
      </c>
      <c r="L793" t="s">
        <v>470</v>
      </c>
      <c r="M793" t="s">
        <v>471</v>
      </c>
      <c r="O793" t="s">
        <v>52</v>
      </c>
      <c r="P793" t="s">
        <v>472</v>
      </c>
    </row>
    <row r="794" spans="1:16" x14ac:dyDescent="0.3">
      <c r="A794" t="s">
        <v>1095</v>
      </c>
      <c r="B794" t="s">
        <v>74</v>
      </c>
      <c r="C794" s="51">
        <v>46302.9375</v>
      </c>
      <c r="D794" s="51">
        <v>46300.561805555553</v>
      </c>
      <c r="E794" t="s">
        <v>87</v>
      </c>
      <c r="F794" t="s">
        <v>48</v>
      </c>
      <c r="G794" t="s">
        <v>49</v>
      </c>
      <c r="H794" t="s">
        <v>75</v>
      </c>
      <c r="I794" t="s">
        <v>76</v>
      </c>
      <c r="J794" t="s">
        <v>70</v>
      </c>
      <c r="K794" t="s">
        <v>469</v>
      </c>
      <c r="L794" t="s">
        <v>470</v>
      </c>
      <c r="M794" t="s">
        <v>471</v>
      </c>
      <c r="N794">
        <v>15740082</v>
      </c>
      <c r="O794" t="s">
        <v>52</v>
      </c>
      <c r="P794" t="s">
        <v>472</v>
      </c>
    </row>
    <row r="795" spans="1:16" x14ac:dyDescent="0.3">
      <c r="A795" t="s">
        <v>1096</v>
      </c>
      <c r="B795" t="s">
        <v>74</v>
      </c>
      <c r="C795" s="51">
        <v>46302.938194444447</v>
      </c>
      <c r="D795" s="51">
        <v>46300.558333333334</v>
      </c>
      <c r="E795" t="s">
        <v>87</v>
      </c>
      <c r="F795" t="s">
        <v>48</v>
      </c>
      <c r="G795" t="s">
        <v>49</v>
      </c>
      <c r="H795" t="s">
        <v>75</v>
      </c>
      <c r="I795" t="s">
        <v>76</v>
      </c>
      <c r="J795" t="s">
        <v>70</v>
      </c>
      <c r="K795" t="s">
        <v>469</v>
      </c>
      <c r="L795" t="s">
        <v>470</v>
      </c>
      <c r="M795" t="s">
        <v>471</v>
      </c>
      <c r="N795">
        <v>15739920</v>
      </c>
      <c r="O795" t="s">
        <v>52</v>
      </c>
      <c r="P795" t="s">
        <v>472</v>
      </c>
    </row>
    <row r="796" spans="1:16" x14ac:dyDescent="0.3">
      <c r="A796" t="s">
        <v>1097</v>
      </c>
      <c r="B796" t="s">
        <v>155</v>
      </c>
      <c r="C796" s="51">
        <v>46302.938194444447</v>
      </c>
      <c r="D796" s="51">
        <v>46300.556250000001</v>
      </c>
      <c r="E796" t="s">
        <v>87</v>
      </c>
      <c r="F796" t="s">
        <v>53</v>
      </c>
      <c r="G796" t="s">
        <v>85</v>
      </c>
      <c r="H796" t="s">
        <v>156</v>
      </c>
      <c r="I796" t="s">
        <v>157</v>
      </c>
      <c r="J796" t="s">
        <v>70</v>
      </c>
      <c r="K796" t="s">
        <v>469</v>
      </c>
      <c r="L796" t="s">
        <v>470</v>
      </c>
      <c r="M796" t="s">
        <v>471</v>
      </c>
      <c r="N796">
        <v>15740200</v>
      </c>
      <c r="O796" t="s">
        <v>52</v>
      </c>
      <c r="P796" t="s">
        <v>472</v>
      </c>
    </row>
    <row r="797" spans="1:16" x14ac:dyDescent="0.3">
      <c r="A797" t="s">
        <v>1098</v>
      </c>
      <c r="B797" t="s">
        <v>1099</v>
      </c>
      <c r="C797" s="51">
        <v>46302.54583333333</v>
      </c>
      <c r="D797" s="51">
        <v>46300.553472222222</v>
      </c>
      <c r="E797" t="s">
        <v>87</v>
      </c>
      <c r="F797" t="s">
        <v>48</v>
      </c>
      <c r="G797" t="s">
        <v>525</v>
      </c>
      <c r="H797" t="s">
        <v>144</v>
      </c>
      <c r="I797" t="s">
        <v>69</v>
      </c>
      <c r="J797" t="s">
        <v>55</v>
      </c>
      <c r="K797" t="s">
        <v>469</v>
      </c>
      <c r="L797" t="s">
        <v>473</v>
      </c>
      <c r="M797" t="s">
        <v>476</v>
      </c>
      <c r="O797" t="s">
        <v>503</v>
      </c>
      <c r="P797" t="s">
        <v>474</v>
      </c>
    </row>
    <row r="798" spans="1:16" x14ac:dyDescent="0.3">
      <c r="A798" t="s">
        <v>1100</v>
      </c>
      <c r="B798" t="s">
        <v>67</v>
      </c>
      <c r="C798" s="51">
        <v>46303.938194444447</v>
      </c>
      <c r="D798" s="51">
        <v>46300.551388888889</v>
      </c>
      <c r="E798" t="s">
        <v>87</v>
      </c>
      <c r="F798" t="s">
        <v>48</v>
      </c>
      <c r="G798" t="s">
        <v>49</v>
      </c>
      <c r="H798" t="s">
        <v>68</v>
      </c>
      <c r="I798" t="s">
        <v>69</v>
      </c>
      <c r="J798" t="s">
        <v>70</v>
      </c>
      <c r="K798" t="s">
        <v>469</v>
      </c>
      <c r="L798" t="s">
        <v>470</v>
      </c>
      <c r="M798" t="s">
        <v>471</v>
      </c>
      <c r="N798">
        <v>15740234</v>
      </c>
      <c r="O798" t="s">
        <v>52</v>
      </c>
      <c r="P798" t="s">
        <v>472</v>
      </c>
    </row>
    <row r="799" spans="1:16" x14ac:dyDescent="0.3">
      <c r="A799" t="s">
        <v>1101</v>
      </c>
      <c r="B799" t="s">
        <v>62</v>
      </c>
      <c r="C799" s="51">
        <v>46302.375</v>
      </c>
      <c r="D799" s="51">
        <v>46300.548611111109</v>
      </c>
      <c r="E799" t="s">
        <v>87</v>
      </c>
      <c r="F799" t="s">
        <v>53</v>
      </c>
      <c r="G799" t="s">
        <v>54</v>
      </c>
      <c r="H799" t="s">
        <v>63</v>
      </c>
      <c r="I799" t="s">
        <v>64</v>
      </c>
      <c r="J799" t="s">
        <v>65</v>
      </c>
      <c r="K799" t="s">
        <v>481</v>
      </c>
      <c r="L799" t="s">
        <v>470</v>
      </c>
      <c r="M799" t="s">
        <v>471</v>
      </c>
      <c r="O799" t="s">
        <v>52</v>
      </c>
      <c r="P799" t="s">
        <v>472</v>
      </c>
    </row>
    <row r="800" spans="1:16" x14ac:dyDescent="0.3">
      <c r="A800" t="s">
        <v>1102</v>
      </c>
      <c r="B800" t="s">
        <v>47</v>
      </c>
      <c r="C800" s="51">
        <v>46302.938194444447</v>
      </c>
      <c r="D800" s="51">
        <v>46300.545138888891</v>
      </c>
      <c r="E800" t="s">
        <v>87</v>
      </c>
      <c r="F800" t="s">
        <v>48</v>
      </c>
      <c r="G800" t="s">
        <v>49</v>
      </c>
      <c r="H800" t="s">
        <v>50</v>
      </c>
      <c r="I800" t="s">
        <v>149</v>
      </c>
      <c r="J800" t="s">
        <v>51</v>
      </c>
      <c r="K800" t="s">
        <v>469</v>
      </c>
      <c r="L800" t="s">
        <v>470</v>
      </c>
      <c r="M800" t="s">
        <v>471</v>
      </c>
      <c r="N800">
        <v>15739802</v>
      </c>
      <c r="O800" t="s">
        <v>52</v>
      </c>
      <c r="P800" t="s">
        <v>472</v>
      </c>
    </row>
    <row r="801" spans="1:16" x14ac:dyDescent="0.3">
      <c r="A801" t="s">
        <v>1103</v>
      </c>
      <c r="B801" t="s">
        <v>47</v>
      </c>
      <c r="C801" s="51">
        <v>46302.938194444447</v>
      </c>
      <c r="D801" s="51">
        <v>46300.545138888891</v>
      </c>
      <c r="E801" t="s">
        <v>87</v>
      </c>
      <c r="F801" t="s">
        <v>48</v>
      </c>
      <c r="G801" t="s">
        <v>49</v>
      </c>
      <c r="H801" t="s">
        <v>50</v>
      </c>
      <c r="I801" t="s">
        <v>149</v>
      </c>
      <c r="J801" t="s">
        <v>51</v>
      </c>
      <c r="K801" t="s">
        <v>469</v>
      </c>
      <c r="L801" t="s">
        <v>470</v>
      </c>
      <c r="M801" t="s">
        <v>471</v>
      </c>
      <c r="N801">
        <v>15739832</v>
      </c>
      <c r="O801" t="s">
        <v>52</v>
      </c>
      <c r="P801" t="s">
        <v>472</v>
      </c>
    </row>
    <row r="802" spans="1:16" x14ac:dyDescent="0.3">
      <c r="A802" t="s">
        <v>1104</v>
      </c>
      <c r="B802" t="s">
        <v>67</v>
      </c>
      <c r="C802" s="51">
        <v>46303.938194444447</v>
      </c>
      <c r="D802" s="51">
        <v>46300.53125</v>
      </c>
      <c r="E802" t="s">
        <v>87</v>
      </c>
      <c r="F802" t="s">
        <v>48</v>
      </c>
      <c r="G802" t="s">
        <v>49</v>
      </c>
      <c r="H802" t="s">
        <v>68</v>
      </c>
      <c r="I802" t="s">
        <v>69</v>
      </c>
      <c r="J802" t="s">
        <v>70</v>
      </c>
      <c r="K802" t="s">
        <v>469</v>
      </c>
      <c r="L802" t="s">
        <v>470</v>
      </c>
      <c r="M802" t="s">
        <v>471</v>
      </c>
      <c r="N802">
        <v>15739210</v>
      </c>
      <c r="O802" t="s">
        <v>52</v>
      </c>
      <c r="P802" t="s">
        <v>472</v>
      </c>
    </row>
    <row r="803" spans="1:16" x14ac:dyDescent="0.3">
      <c r="A803" t="s">
        <v>1105</v>
      </c>
      <c r="B803" t="s">
        <v>120</v>
      </c>
      <c r="C803" s="51">
        <v>46303.938194444447</v>
      </c>
      <c r="D803" s="51">
        <v>46300.527083333334</v>
      </c>
      <c r="E803" t="s">
        <v>87</v>
      </c>
      <c r="F803" t="s">
        <v>48</v>
      </c>
      <c r="G803" t="s">
        <v>49</v>
      </c>
      <c r="H803" t="s">
        <v>121</v>
      </c>
      <c r="I803" t="s">
        <v>82</v>
      </c>
      <c r="J803" t="s">
        <v>51</v>
      </c>
      <c r="K803" t="s">
        <v>469</v>
      </c>
      <c r="L803" t="s">
        <v>470</v>
      </c>
      <c r="M803" t="s">
        <v>471</v>
      </c>
      <c r="N803">
        <v>15739396</v>
      </c>
      <c r="O803" t="s">
        <v>52</v>
      </c>
      <c r="P803" t="s">
        <v>472</v>
      </c>
    </row>
    <row r="804" spans="1:16" x14ac:dyDescent="0.3">
      <c r="A804" t="s">
        <v>1106</v>
      </c>
      <c r="B804" t="s">
        <v>62</v>
      </c>
      <c r="C804" s="51">
        <v>46302.375</v>
      </c>
      <c r="D804" s="51">
        <v>46300.520138888889</v>
      </c>
      <c r="E804" t="s">
        <v>87</v>
      </c>
      <c r="F804" t="s">
        <v>53</v>
      </c>
      <c r="G804" t="s">
        <v>54</v>
      </c>
      <c r="H804" t="s">
        <v>63</v>
      </c>
      <c r="I804" t="s">
        <v>64</v>
      </c>
      <c r="J804" t="s">
        <v>65</v>
      </c>
      <c r="K804" t="s">
        <v>481</v>
      </c>
      <c r="L804" t="s">
        <v>470</v>
      </c>
      <c r="M804" t="s">
        <v>471</v>
      </c>
      <c r="O804" t="s">
        <v>52</v>
      </c>
      <c r="P804" t="s">
        <v>472</v>
      </c>
    </row>
    <row r="805" spans="1:16" x14ac:dyDescent="0.3">
      <c r="A805" t="s">
        <v>1107</v>
      </c>
      <c r="B805" t="s">
        <v>47</v>
      </c>
      <c r="C805" s="51">
        <v>46303.938194444447</v>
      </c>
      <c r="D805" s="51">
        <v>46300.520138888889</v>
      </c>
      <c r="E805" t="s">
        <v>87</v>
      </c>
      <c r="F805" t="s">
        <v>48</v>
      </c>
      <c r="G805" t="s">
        <v>49</v>
      </c>
      <c r="H805" t="s">
        <v>50</v>
      </c>
      <c r="I805" t="s">
        <v>92</v>
      </c>
      <c r="J805" t="s">
        <v>51</v>
      </c>
      <c r="K805" t="s">
        <v>469</v>
      </c>
      <c r="L805" t="s">
        <v>470</v>
      </c>
      <c r="M805" t="s">
        <v>471</v>
      </c>
      <c r="N805">
        <v>15741200</v>
      </c>
      <c r="O805" t="s">
        <v>52</v>
      </c>
      <c r="P805" t="s">
        <v>472</v>
      </c>
    </row>
    <row r="806" spans="1:16" x14ac:dyDescent="0.3">
      <c r="A806" t="s">
        <v>1108</v>
      </c>
      <c r="B806" t="s">
        <v>67</v>
      </c>
      <c r="C806" s="51">
        <v>46303.938194444447</v>
      </c>
      <c r="D806" s="51">
        <v>46300.519444444442</v>
      </c>
      <c r="E806" t="s">
        <v>87</v>
      </c>
      <c r="F806" t="s">
        <v>48</v>
      </c>
      <c r="G806" t="s">
        <v>49</v>
      </c>
      <c r="H806" t="s">
        <v>68</v>
      </c>
      <c r="I806" t="s">
        <v>69</v>
      </c>
      <c r="J806" t="s">
        <v>70</v>
      </c>
      <c r="K806" t="s">
        <v>469</v>
      </c>
      <c r="L806" t="s">
        <v>470</v>
      </c>
      <c r="M806" t="s">
        <v>471</v>
      </c>
      <c r="N806">
        <v>15739194</v>
      </c>
      <c r="O806" t="s">
        <v>52</v>
      </c>
      <c r="P806" t="s">
        <v>472</v>
      </c>
    </row>
    <row r="807" spans="1:16" x14ac:dyDescent="0.3">
      <c r="A807" t="s">
        <v>1109</v>
      </c>
      <c r="B807" t="s">
        <v>67</v>
      </c>
      <c r="C807" s="51">
        <v>46302.938194444447</v>
      </c>
      <c r="D807" s="51">
        <v>46300.51666666667</v>
      </c>
      <c r="E807" t="s">
        <v>87</v>
      </c>
      <c r="F807" t="s">
        <v>48</v>
      </c>
      <c r="G807" t="s">
        <v>49</v>
      </c>
      <c r="H807" t="s">
        <v>68</v>
      </c>
      <c r="I807" t="s">
        <v>69</v>
      </c>
      <c r="J807" t="s">
        <v>70</v>
      </c>
      <c r="K807" t="s">
        <v>469</v>
      </c>
      <c r="L807" t="s">
        <v>470</v>
      </c>
      <c r="M807" t="s">
        <v>485</v>
      </c>
      <c r="N807">
        <v>15739616</v>
      </c>
      <c r="O807" t="s">
        <v>52</v>
      </c>
      <c r="P807" t="s">
        <v>472</v>
      </c>
    </row>
    <row r="808" spans="1:16" x14ac:dyDescent="0.3">
      <c r="A808" t="s">
        <v>1110</v>
      </c>
      <c r="B808" t="s">
        <v>113</v>
      </c>
      <c r="C808" s="51">
        <v>46302.333333333336</v>
      </c>
      <c r="D808" s="51">
        <v>46300.510416666664</v>
      </c>
      <c r="E808" t="s">
        <v>87</v>
      </c>
      <c r="F808" t="s">
        <v>48</v>
      </c>
      <c r="G808" t="s">
        <v>49</v>
      </c>
      <c r="H808" t="s">
        <v>114</v>
      </c>
      <c r="I808" t="s">
        <v>115</v>
      </c>
      <c r="J808" t="s">
        <v>116</v>
      </c>
      <c r="K808" t="s">
        <v>469</v>
      </c>
      <c r="L808" t="s">
        <v>470</v>
      </c>
      <c r="M808" t="s">
        <v>485</v>
      </c>
      <c r="O808" t="s">
        <v>52</v>
      </c>
      <c r="P808" t="s">
        <v>472</v>
      </c>
    </row>
    <row r="809" spans="1:16" x14ac:dyDescent="0.3">
      <c r="A809" t="s">
        <v>1111</v>
      </c>
      <c r="B809" t="s">
        <v>67</v>
      </c>
      <c r="C809" s="51">
        <v>46303.9375</v>
      </c>
      <c r="D809" s="51">
        <v>46300.505555555559</v>
      </c>
      <c r="E809" t="s">
        <v>87</v>
      </c>
      <c r="F809" t="s">
        <v>48</v>
      </c>
      <c r="G809" t="s">
        <v>49</v>
      </c>
      <c r="H809" t="s">
        <v>68</v>
      </c>
      <c r="I809" t="s">
        <v>69</v>
      </c>
      <c r="J809" t="s">
        <v>70</v>
      </c>
      <c r="K809" t="s">
        <v>469</v>
      </c>
      <c r="L809" t="s">
        <v>470</v>
      </c>
      <c r="M809" t="s">
        <v>485</v>
      </c>
      <c r="N809">
        <v>15739016</v>
      </c>
      <c r="O809" t="s">
        <v>52</v>
      </c>
      <c r="P809" t="s">
        <v>472</v>
      </c>
    </row>
    <row r="810" spans="1:16" x14ac:dyDescent="0.3">
      <c r="A810" t="s">
        <v>1112</v>
      </c>
      <c r="B810" t="s">
        <v>67</v>
      </c>
      <c r="C810" s="51">
        <v>46302.938194444447</v>
      </c>
      <c r="D810" s="51">
        <v>46300.502083333333</v>
      </c>
      <c r="E810" t="s">
        <v>87</v>
      </c>
      <c r="F810" t="s">
        <v>48</v>
      </c>
      <c r="G810" t="s">
        <v>49</v>
      </c>
      <c r="H810" t="s">
        <v>68</v>
      </c>
      <c r="I810" t="s">
        <v>69</v>
      </c>
      <c r="J810" t="s">
        <v>70</v>
      </c>
      <c r="K810" t="s">
        <v>469</v>
      </c>
      <c r="L810" t="s">
        <v>470</v>
      </c>
      <c r="M810" t="s">
        <v>471</v>
      </c>
      <c r="N810">
        <v>15739006</v>
      </c>
      <c r="O810" t="s">
        <v>52</v>
      </c>
      <c r="P810" t="s">
        <v>472</v>
      </c>
    </row>
    <row r="811" spans="1:16" x14ac:dyDescent="0.3">
      <c r="A811" t="s">
        <v>1113</v>
      </c>
      <c r="B811" t="s">
        <v>47</v>
      </c>
      <c r="C811" s="51">
        <v>46302.938194444447</v>
      </c>
      <c r="D811" s="51">
        <v>46300.501388888886</v>
      </c>
      <c r="E811" t="s">
        <v>87</v>
      </c>
      <c r="F811" t="s">
        <v>48</v>
      </c>
      <c r="G811" t="s">
        <v>49</v>
      </c>
      <c r="H811" t="s">
        <v>50</v>
      </c>
      <c r="I811" t="s">
        <v>149</v>
      </c>
      <c r="J811" t="s">
        <v>51</v>
      </c>
      <c r="K811" t="s">
        <v>469</v>
      </c>
      <c r="L811" t="s">
        <v>470</v>
      </c>
      <c r="M811" t="s">
        <v>471</v>
      </c>
      <c r="N811">
        <v>15738996</v>
      </c>
      <c r="O811" t="s">
        <v>52</v>
      </c>
      <c r="P811" t="s">
        <v>472</v>
      </c>
    </row>
    <row r="812" spans="1:16" x14ac:dyDescent="0.3">
      <c r="A812" t="s">
        <v>1114</v>
      </c>
      <c r="B812" t="s">
        <v>67</v>
      </c>
      <c r="C812" s="51">
        <v>46307.938194444447</v>
      </c>
      <c r="D812" s="51">
        <v>46300.48333333333</v>
      </c>
      <c r="E812" t="s">
        <v>87</v>
      </c>
      <c r="F812" t="s">
        <v>48</v>
      </c>
      <c r="G812" t="s">
        <v>49</v>
      </c>
      <c r="H812" t="s">
        <v>68</v>
      </c>
      <c r="I812" t="s">
        <v>69</v>
      </c>
      <c r="J812" t="s">
        <v>70</v>
      </c>
      <c r="K812" t="s">
        <v>469</v>
      </c>
      <c r="L812" t="s">
        <v>470</v>
      </c>
      <c r="M812" t="s">
        <v>471</v>
      </c>
      <c r="N812">
        <v>15738994</v>
      </c>
      <c r="O812" t="s">
        <v>52</v>
      </c>
      <c r="P812" t="s">
        <v>472</v>
      </c>
    </row>
    <row r="813" spans="1:16" x14ac:dyDescent="0.3">
      <c r="A813" t="s">
        <v>1115</v>
      </c>
      <c r="B813" t="s">
        <v>47</v>
      </c>
      <c r="C813" s="51">
        <v>46302.938194444447</v>
      </c>
      <c r="D813" s="51">
        <v>46300.472916666666</v>
      </c>
      <c r="E813" t="s">
        <v>87</v>
      </c>
      <c r="F813" t="s">
        <v>48</v>
      </c>
      <c r="G813" t="s">
        <v>49</v>
      </c>
      <c r="H813" t="s">
        <v>50</v>
      </c>
      <c r="I813" t="s">
        <v>66</v>
      </c>
      <c r="J813" t="s">
        <v>51</v>
      </c>
      <c r="K813" t="s">
        <v>469</v>
      </c>
      <c r="L813" t="s">
        <v>470</v>
      </c>
      <c r="M813" t="s">
        <v>471</v>
      </c>
      <c r="N813">
        <v>15738802</v>
      </c>
      <c r="O813" t="s">
        <v>52</v>
      </c>
      <c r="P813" t="s">
        <v>472</v>
      </c>
    </row>
    <row r="814" spans="1:16" x14ac:dyDescent="0.3">
      <c r="A814" t="s">
        <v>1116</v>
      </c>
      <c r="B814" t="s">
        <v>67</v>
      </c>
      <c r="C814" s="51">
        <v>46302.938194444447</v>
      </c>
      <c r="D814" s="51">
        <v>46300.460416666669</v>
      </c>
      <c r="E814" t="s">
        <v>87</v>
      </c>
      <c r="F814" t="s">
        <v>48</v>
      </c>
      <c r="G814" t="s">
        <v>49</v>
      </c>
      <c r="H814" t="s">
        <v>68</v>
      </c>
      <c r="I814" t="s">
        <v>69</v>
      </c>
      <c r="J814" t="s">
        <v>70</v>
      </c>
      <c r="K814" t="s">
        <v>469</v>
      </c>
      <c r="L814" t="s">
        <v>470</v>
      </c>
      <c r="M814" t="s">
        <v>471</v>
      </c>
      <c r="N814">
        <v>15738608</v>
      </c>
      <c r="O814" t="s">
        <v>52</v>
      </c>
      <c r="P814" t="s">
        <v>472</v>
      </c>
    </row>
    <row r="815" spans="1:16" x14ac:dyDescent="0.3">
      <c r="A815" t="s">
        <v>1117</v>
      </c>
      <c r="B815" t="s">
        <v>67</v>
      </c>
      <c r="C815" s="51">
        <v>46302.938194444447</v>
      </c>
      <c r="D815" s="51">
        <v>46300.460416666669</v>
      </c>
      <c r="E815" t="s">
        <v>87</v>
      </c>
      <c r="F815" t="s">
        <v>48</v>
      </c>
      <c r="G815" t="s">
        <v>49</v>
      </c>
      <c r="H815" t="s">
        <v>68</v>
      </c>
      <c r="I815" t="s">
        <v>69</v>
      </c>
      <c r="J815" t="s">
        <v>70</v>
      </c>
      <c r="K815" t="s">
        <v>469</v>
      </c>
      <c r="L815" t="s">
        <v>470</v>
      </c>
      <c r="M815" t="s">
        <v>471</v>
      </c>
      <c r="N815">
        <v>15738606</v>
      </c>
      <c r="O815" t="s">
        <v>52</v>
      </c>
      <c r="P815" t="s">
        <v>472</v>
      </c>
    </row>
    <row r="816" spans="1:16" x14ac:dyDescent="0.3">
      <c r="A816" t="s">
        <v>1118</v>
      </c>
      <c r="B816" t="s">
        <v>74</v>
      </c>
      <c r="C816" s="51">
        <v>46302.938194444447</v>
      </c>
      <c r="D816" s="51">
        <v>46300.457638888889</v>
      </c>
      <c r="E816" t="s">
        <v>87</v>
      </c>
      <c r="F816" t="s">
        <v>48</v>
      </c>
      <c r="G816" t="s">
        <v>49</v>
      </c>
      <c r="H816" t="s">
        <v>75</v>
      </c>
      <c r="I816" t="s">
        <v>86</v>
      </c>
      <c r="J816" t="s">
        <v>70</v>
      </c>
      <c r="K816" t="s">
        <v>469</v>
      </c>
      <c r="L816" t="s">
        <v>470</v>
      </c>
      <c r="M816" t="s">
        <v>471</v>
      </c>
      <c r="N816">
        <v>15738604</v>
      </c>
      <c r="O816" t="s">
        <v>52</v>
      </c>
      <c r="P816" t="s">
        <v>472</v>
      </c>
    </row>
    <row r="817" spans="1:16" x14ac:dyDescent="0.3">
      <c r="A817" t="s">
        <v>1119</v>
      </c>
      <c r="B817" t="s">
        <v>67</v>
      </c>
      <c r="C817" s="51">
        <v>46303.938194444447</v>
      </c>
      <c r="D817" s="51">
        <v>46300.456250000003</v>
      </c>
      <c r="E817" t="s">
        <v>87</v>
      </c>
      <c r="F817" t="s">
        <v>48</v>
      </c>
      <c r="G817" t="s">
        <v>49</v>
      </c>
      <c r="H817" t="s">
        <v>68</v>
      </c>
      <c r="I817" t="s">
        <v>69</v>
      </c>
      <c r="J817" t="s">
        <v>70</v>
      </c>
      <c r="K817" t="s">
        <v>469</v>
      </c>
      <c r="L817" t="s">
        <v>470</v>
      </c>
      <c r="M817" t="s">
        <v>471</v>
      </c>
      <c r="N817">
        <v>15738602</v>
      </c>
      <c r="O817" t="s">
        <v>52</v>
      </c>
      <c r="P817" t="s">
        <v>472</v>
      </c>
    </row>
    <row r="818" spans="1:16" x14ac:dyDescent="0.3">
      <c r="A818" t="s">
        <v>1120</v>
      </c>
      <c r="B818" t="s">
        <v>47</v>
      </c>
      <c r="C818" s="51">
        <v>46302.938194444447</v>
      </c>
      <c r="D818" s="51">
        <v>46300.456250000003</v>
      </c>
      <c r="E818" t="s">
        <v>87</v>
      </c>
      <c r="F818" t="s">
        <v>48</v>
      </c>
      <c r="G818" t="s">
        <v>49</v>
      </c>
      <c r="H818" t="s">
        <v>50</v>
      </c>
      <c r="I818" t="s">
        <v>149</v>
      </c>
      <c r="J818" t="s">
        <v>51</v>
      </c>
      <c r="K818" t="s">
        <v>469</v>
      </c>
      <c r="L818" t="s">
        <v>470</v>
      </c>
      <c r="M818" t="s">
        <v>485</v>
      </c>
      <c r="N818">
        <v>15735180</v>
      </c>
      <c r="O818" t="s">
        <v>52</v>
      </c>
      <c r="P818" t="s">
        <v>472</v>
      </c>
    </row>
    <row r="819" spans="1:16" x14ac:dyDescent="0.3">
      <c r="A819" t="s">
        <v>1121</v>
      </c>
      <c r="B819" t="s">
        <v>67</v>
      </c>
      <c r="C819" s="51">
        <v>46303.9375</v>
      </c>
      <c r="D819" s="51">
        <v>46300.456250000003</v>
      </c>
      <c r="E819" t="s">
        <v>87</v>
      </c>
      <c r="F819" t="s">
        <v>48</v>
      </c>
      <c r="G819" t="s">
        <v>49</v>
      </c>
      <c r="H819" t="s">
        <v>68</v>
      </c>
      <c r="I819" t="s">
        <v>69</v>
      </c>
      <c r="J819" t="s">
        <v>70</v>
      </c>
      <c r="K819" t="s">
        <v>469</v>
      </c>
      <c r="L819" t="s">
        <v>470</v>
      </c>
      <c r="M819" t="s">
        <v>471</v>
      </c>
      <c r="N819">
        <v>15734734</v>
      </c>
      <c r="O819" t="s">
        <v>52</v>
      </c>
      <c r="P819" t="s">
        <v>472</v>
      </c>
    </row>
    <row r="820" spans="1:16" x14ac:dyDescent="0.3">
      <c r="A820" t="s">
        <v>1122</v>
      </c>
      <c r="B820" t="s">
        <v>67</v>
      </c>
      <c r="C820" s="51">
        <v>46302.9375</v>
      </c>
      <c r="D820" s="51">
        <v>46300.456250000003</v>
      </c>
      <c r="E820" t="s">
        <v>87</v>
      </c>
      <c r="F820" t="s">
        <v>48</v>
      </c>
      <c r="G820" t="s">
        <v>49</v>
      </c>
      <c r="H820" t="s">
        <v>68</v>
      </c>
      <c r="I820" t="s">
        <v>69</v>
      </c>
      <c r="J820" t="s">
        <v>70</v>
      </c>
      <c r="K820" t="s">
        <v>469</v>
      </c>
      <c r="L820" t="s">
        <v>470</v>
      </c>
      <c r="M820" t="s">
        <v>485</v>
      </c>
      <c r="N820">
        <v>15734632</v>
      </c>
      <c r="O820" t="s">
        <v>52</v>
      </c>
      <c r="P820" t="s">
        <v>472</v>
      </c>
    </row>
    <row r="821" spans="1:16" x14ac:dyDescent="0.3">
      <c r="A821" t="s">
        <v>1123</v>
      </c>
      <c r="B821" t="s">
        <v>67</v>
      </c>
      <c r="C821" s="51">
        <v>46303.938194444447</v>
      </c>
      <c r="D821" s="51">
        <v>46300.455555555556</v>
      </c>
      <c r="E821" t="s">
        <v>87</v>
      </c>
      <c r="F821" t="s">
        <v>48</v>
      </c>
      <c r="G821" t="s">
        <v>49</v>
      </c>
      <c r="H821" t="s">
        <v>68</v>
      </c>
      <c r="I821" t="s">
        <v>69</v>
      </c>
      <c r="J821" t="s">
        <v>70</v>
      </c>
      <c r="K821" t="s">
        <v>469</v>
      </c>
      <c r="L821" t="s">
        <v>470</v>
      </c>
      <c r="M821" t="s">
        <v>471</v>
      </c>
      <c r="N821">
        <v>15734642</v>
      </c>
      <c r="O821" t="s">
        <v>52</v>
      </c>
      <c r="P821" t="s">
        <v>472</v>
      </c>
    </row>
    <row r="822" spans="1:16" x14ac:dyDescent="0.3">
      <c r="A822" t="s">
        <v>1124</v>
      </c>
      <c r="B822" t="s">
        <v>120</v>
      </c>
      <c r="C822" s="51">
        <v>46301.938194444447</v>
      </c>
      <c r="D822" s="51">
        <v>46300.438194444447</v>
      </c>
      <c r="E822" t="s">
        <v>87</v>
      </c>
      <c r="F822" t="s">
        <v>48</v>
      </c>
      <c r="G822" t="s">
        <v>49</v>
      </c>
      <c r="H822" t="s">
        <v>121</v>
      </c>
      <c r="I822" t="s">
        <v>82</v>
      </c>
      <c r="J822" t="s">
        <v>51</v>
      </c>
      <c r="K822" t="s">
        <v>469</v>
      </c>
      <c r="L822" t="s">
        <v>470</v>
      </c>
      <c r="M822" t="s">
        <v>471</v>
      </c>
      <c r="N822">
        <v>15731650</v>
      </c>
      <c r="O822" t="s">
        <v>52</v>
      </c>
      <c r="P822" t="s">
        <v>472</v>
      </c>
    </row>
    <row r="823" spans="1:16" x14ac:dyDescent="0.3">
      <c r="A823" t="s">
        <v>1125</v>
      </c>
      <c r="B823" t="s">
        <v>79</v>
      </c>
      <c r="C823" s="51">
        <v>46301.458333333336</v>
      </c>
      <c r="D823" s="51">
        <v>46300.43472222222</v>
      </c>
      <c r="E823" t="s">
        <v>87</v>
      </c>
      <c r="F823" t="s">
        <v>77</v>
      </c>
      <c r="G823" t="s">
        <v>78</v>
      </c>
      <c r="H823" t="s">
        <v>80</v>
      </c>
      <c r="I823" t="s">
        <v>81</v>
      </c>
      <c r="J823" t="s">
        <v>93</v>
      </c>
      <c r="K823" t="s">
        <v>482</v>
      </c>
      <c r="L823" t="s">
        <v>473</v>
      </c>
      <c r="M823" t="s">
        <v>1126</v>
      </c>
      <c r="O823" t="s">
        <v>503</v>
      </c>
      <c r="P823" t="s">
        <v>474</v>
      </c>
    </row>
    <row r="824" spans="1:16" x14ac:dyDescent="0.3">
      <c r="A824" t="s">
        <v>1127</v>
      </c>
      <c r="B824" t="s">
        <v>74</v>
      </c>
      <c r="C824" s="51">
        <v>46301.958333333336</v>
      </c>
      <c r="D824" s="51">
        <v>46300.42291666667</v>
      </c>
      <c r="E824" t="s">
        <v>87</v>
      </c>
      <c r="F824" t="s">
        <v>48</v>
      </c>
      <c r="G824" t="s">
        <v>49</v>
      </c>
      <c r="H824" t="s">
        <v>75</v>
      </c>
      <c r="I824" t="s">
        <v>86</v>
      </c>
      <c r="J824" t="s">
        <v>70</v>
      </c>
      <c r="K824" t="s">
        <v>469</v>
      </c>
      <c r="L824" t="s">
        <v>470</v>
      </c>
      <c r="M824" t="s">
        <v>471</v>
      </c>
      <c r="N824">
        <v>15731652</v>
      </c>
      <c r="O824" t="s">
        <v>52</v>
      </c>
      <c r="P824" t="s">
        <v>472</v>
      </c>
    </row>
    <row r="825" spans="1:16" x14ac:dyDescent="0.3">
      <c r="A825" t="s">
        <v>1128</v>
      </c>
      <c r="B825" t="s">
        <v>67</v>
      </c>
      <c r="C825" s="51">
        <v>46302.9375</v>
      </c>
      <c r="D825" s="51">
        <v>46300.417361111111</v>
      </c>
      <c r="E825" t="s">
        <v>87</v>
      </c>
      <c r="F825" t="s">
        <v>48</v>
      </c>
      <c r="G825" t="s">
        <v>49</v>
      </c>
      <c r="H825" t="s">
        <v>68</v>
      </c>
      <c r="I825" t="s">
        <v>69</v>
      </c>
      <c r="J825" t="s">
        <v>70</v>
      </c>
      <c r="K825" t="s">
        <v>469</v>
      </c>
      <c r="L825" t="s">
        <v>470</v>
      </c>
      <c r="M825" t="s">
        <v>471</v>
      </c>
      <c r="N825">
        <v>15731658</v>
      </c>
      <c r="O825" t="s">
        <v>52</v>
      </c>
      <c r="P825" t="s">
        <v>472</v>
      </c>
    </row>
    <row r="826" spans="1:16" x14ac:dyDescent="0.3">
      <c r="A826" t="s">
        <v>1129</v>
      </c>
      <c r="B826" t="s">
        <v>67</v>
      </c>
      <c r="C826" s="51">
        <v>46301.938194444447</v>
      </c>
      <c r="D826" s="51">
        <v>46300.417361111111</v>
      </c>
      <c r="E826" t="s">
        <v>87</v>
      </c>
      <c r="F826" t="s">
        <v>48</v>
      </c>
      <c r="G826" t="s">
        <v>49</v>
      </c>
      <c r="H826" t="s">
        <v>68</v>
      </c>
      <c r="I826" t="s">
        <v>69</v>
      </c>
      <c r="J826" t="s">
        <v>70</v>
      </c>
      <c r="K826" t="s">
        <v>469</v>
      </c>
      <c r="L826" t="s">
        <v>470</v>
      </c>
      <c r="M826" t="s">
        <v>471</v>
      </c>
      <c r="N826">
        <v>15731664</v>
      </c>
      <c r="O826" t="s">
        <v>52</v>
      </c>
      <c r="P826" t="s">
        <v>472</v>
      </c>
    </row>
    <row r="827" spans="1:16" x14ac:dyDescent="0.3">
      <c r="A827" t="s">
        <v>1130</v>
      </c>
      <c r="B827" t="s">
        <v>74</v>
      </c>
      <c r="C827" s="51">
        <v>46301.958333333336</v>
      </c>
      <c r="D827" s="51">
        <v>46300.412499999999</v>
      </c>
      <c r="E827" t="s">
        <v>87</v>
      </c>
      <c r="F827" t="s">
        <v>48</v>
      </c>
      <c r="G827" t="s">
        <v>49</v>
      </c>
      <c r="H827" t="s">
        <v>75</v>
      </c>
      <c r="I827" t="s">
        <v>86</v>
      </c>
      <c r="J827" t="s">
        <v>70</v>
      </c>
      <c r="K827" t="s">
        <v>469</v>
      </c>
      <c r="L827" t="s">
        <v>470</v>
      </c>
      <c r="M827" t="s">
        <v>471</v>
      </c>
      <c r="N827">
        <v>15731484</v>
      </c>
      <c r="O827" t="s">
        <v>52</v>
      </c>
      <c r="P827" t="s">
        <v>472</v>
      </c>
    </row>
    <row r="828" spans="1:16" x14ac:dyDescent="0.3">
      <c r="A828" t="s">
        <v>1131</v>
      </c>
      <c r="B828" t="s">
        <v>140</v>
      </c>
      <c r="C828" s="51">
        <v>46301.583333333336</v>
      </c>
      <c r="D828" s="51">
        <v>46300.40625</v>
      </c>
      <c r="E828" t="s">
        <v>87</v>
      </c>
      <c r="F828" t="s">
        <v>48</v>
      </c>
      <c r="G828" t="s">
        <v>141</v>
      </c>
      <c r="H828" t="s">
        <v>141</v>
      </c>
      <c r="I828" t="s">
        <v>84</v>
      </c>
      <c r="J828" t="s">
        <v>55</v>
      </c>
      <c r="K828" t="s">
        <v>487</v>
      </c>
      <c r="L828" t="s">
        <v>473</v>
      </c>
      <c r="M828">
        <v>0</v>
      </c>
      <c r="O828" t="s">
        <v>56</v>
      </c>
      <c r="P828" t="s">
        <v>474</v>
      </c>
    </row>
    <row r="829" spans="1:16" x14ac:dyDescent="0.3">
      <c r="A829" t="s">
        <v>1132</v>
      </c>
      <c r="B829" t="s">
        <v>67</v>
      </c>
      <c r="C829" s="51">
        <v>46301.958333333336</v>
      </c>
      <c r="D829" s="51">
        <v>46300.382638888892</v>
      </c>
      <c r="E829" t="s">
        <v>87</v>
      </c>
      <c r="F829" t="s">
        <v>48</v>
      </c>
      <c r="G829" t="s">
        <v>49</v>
      </c>
      <c r="H829" t="s">
        <v>68</v>
      </c>
      <c r="I829" t="s">
        <v>69</v>
      </c>
      <c r="J829" t="s">
        <v>70</v>
      </c>
      <c r="K829" t="s">
        <v>469</v>
      </c>
      <c r="L829" t="s">
        <v>470</v>
      </c>
      <c r="M829" t="s">
        <v>471</v>
      </c>
      <c r="N829">
        <v>15731488</v>
      </c>
      <c r="O829" t="s">
        <v>52</v>
      </c>
      <c r="P829" t="s">
        <v>472</v>
      </c>
    </row>
    <row r="830" spans="1:16" x14ac:dyDescent="0.3">
      <c r="A830" t="s">
        <v>1133</v>
      </c>
      <c r="B830" t="s">
        <v>108</v>
      </c>
      <c r="C830" s="51">
        <v>46301.375</v>
      </c>
      <c r="D830" s="51">
        <v>46300.34652777778</v>
      </c>
      <c r="E830" t="s">
        <v>87</v>
      </c>
      <c r="F830" t="s">
        <v>77</v>
      </c>
      <c r="G830" t="s">
        <v>107</v>
      </c>
      <c r="H830" t="s">
        <v>109</v>
      </c>
      <c r="I830" t="s">
        <v>122</v>
      </c>
      <c r="J830" t="s">
        <v>123</v>
      </c>
      <c r="K830" t="s">
        <v>475</v>
      </c>
      <c r="L830" t="s">
        <v>473</v>
      </c>
      <c r="M830">
        <v>0</v>
      </c>
      <c r="O830" t="s">
        <v>56</v>
      </c>
      <c r="P830" t="s">
        <v>474</v>
      </c>
    </row>
    <row r="831" spans="1:16" x14ac:dyDescent="0.3">
      <c r="A831" t="s">
        <v>1134</v>
      </c>
      <c r="B831" t="s">
        <v>74</v>
      </c>
      <c r="C831" s="51">
        <v>46301.958333333336</v>
      </c>
      <c r="D831" s="51">
        <v>46300.310416666667</v>
      </c>
      <c r="E831" t="s">
        <v>87</v>
      </c>
      <c r="F831" t="s">
        <v>48</v>
      </c>
      <c r="G831" t="s">
        <v>49</v>
      </c>
      <c r="H831" t="s">
        <v>75</v>
      </c>
      <c r="I831" t="s">
        <v>76</v>
      </c>
      <c r="J831" t="s">
        <v>70</v>
      </c>
      <c r="K831" t="s">
        <v>469</v>
      </c>
      <c r="L831" t="s">
        <v>470</v>
      </c>
      <c r="M831" t="s">
        <v>471</v>
      </c>
      <c r="N831">
        <v>15731494</v>
      </c>
      <c r="O831" t="s">
        <v>52</v>
      </c>
      <c r="P831" t="s">
        <v>472</v>
      </c>
    </row>
    <row r="832" spans="1:16" x14ac:dyDescent="0.3">
      <c r="A832" t="s">
        <v>1135</v>
      </c>
      <c r="B832" t="s">
        <v>47</v>
      </c>
      <c r="C832" s="51">
        <v>46301.958333333336</v>
      </c>
      <c r="D832" s="51">
        <v>46300.275000000001</v>
      </c>
      <c r="E832" t="s">
        <v>87</v>
      </c>
      <c r="F832" t="s">
        <v>48</v>
      </c>
      <c r="G832" t="s">
        <v>49</v>
      </c>
      <c r="H832" t="s">
        <v>50</v>
      </c>
      <c r="I832" t="s">
        <v>66</v>
      </c>
      <c r="J832" t="s">
        <v>51</v>
      </c>
      <c r="K832" t="s">
        <v>469</v>
      </c>
      <c r="L832" t="s">
        <v>470</v>
      </c>
      <c r="M832" t="s">
        <v>471</v>
      </c>
      <c r="N832">
        <v>15731500</v>
      </c>
      <c r="O832" t="s">
        <v>52</v>
      </c>
      <c r="P832" t="s">
        <v>472</v>
      </c>
    </row>
    <row r="833" spans="1:16" x14ac:dyDescent="0.3">
      <c r="A833" t="s">
        <v>1136</v>
      </c>
      <c r="B833" t="s">
        <v>520</v>
      </c>
      <c r="C833" s="51">
        <v>46301.833333333336</v>
      </c>
      <c r="D833" s="51">
        <v>46300.048611111109</v>
      </c>
      <c r="E833" t="s">
        <v>87</v>
      </c>
      <c r="F833" t="s">
        <v>77</v>
      </c>
      <c r="G833" t="s">
        <v>78</v>
      </c>
      <c r="H833" t="s">
        <v>521</v>
      </c>
      <c r="I833" t="s">
        <v>81</v>
      </c>
      <c r="J833" t="s">
        <v>522</v>
      </c>
      <c r="K833" t="s">
        <v>482</v>
      </c>
      <c r="L833" t="s">
        <v>473</v>
      </c>
      <c r="M833">
        <v>0</v>
      </c>
      <c r="O833" t="s">
        <v>503</v>
      </c>
      <c r="P833" t="s">
        <v>474</v>
      </c>
    </row>
    <row r="834" spans="1:16" x14ac:dyDescent="0.3">
      <c r="A834" t="s">
        <v>1137</v>
      </c>
      <c r="B834" t="s">
        <v>124</v>
      </c>
      <c r="C834" s="51">
        <v>46300.916666666664</v>
      </c>
      <c r="D834" s="51">
        <v>46299.888888888891</v>
      </c>
      <c r="E834" t="s">
        <v>87</v>
      </c>
      <c r="F834" t="s">
        <v>77</v>
      </c>
      <c r="G834" t="s">
        <v>107</v>
      </c>
      <c r="H834" t="s">
        <v>125</v>
      </c>
      <c r="I834" t="s">
        <v>122</v>
      </c>
      <c r="J834" t="s">
        <v>126</v>
      </c>
      <c r="K834" t="s">
        <v>475</v>
      </c>
      <c r="L834" t="s">
        <v>473</v>
      </c>
      <c r="M834" t="s">
        <v>1138</v>
      </c>
      <c r="O834" t="s">
        <v>503</v>
      </c>
      <c r="P834" t="s">
        <v>474</v>
      </c>
    </row>
    <row r="835" spans="1:16" x14ac:dyDescent="0.3">
      <c r="A835" t="s">
        <v>1139</v>
      </c>
      <c r="B835" t="s">
        <v>108</v>
      </c>
      <c r="C835" s="51">
        <v>46300.916666666664</v>
      </c>
      <c r="D835" s="51">
        <v>46299.857638888891</v>
      </c>
      <c r="E835" t="s">
        <v>87</v>
      </c>
      <c r="F835" t="s">
        <v>77</v>
      </c>
      <c r="G835" t="s">
        <v>107</v>
      </c>
      <c r="H835" t="s">
        <v>109</v>
      </c>
      <c r="I835" t="s">
        <v>122</v>
      </c>
      <c r="J835" t="s">
        <v>123</v>
      </c>
      <c r="K835" t="s">
        <v>475</v>
      </c>
      <c r="L835" t="s">
        <v>473</v>
      </c>
      <c r="M835" t="s">
        <v>476</v>
      </c>
      <c r="O835" t="s">
        <v>503</v>
      </c>
      <c r="P835" t="s">
        <v>474</v>
      </c>
    </row>
    <row r="836" spans="1:16" x14ac:dyDescent="0.3">
      <c r="A836" t="s">
        <v>1140</v>
      </c>
      <c r="B836" t="s">
        <v>108</v>
      </c>
      <c r="C836" s="51">
        <v>46300.875</v>
      </c>
      <c r="D836" s="51">
        <v>46299.855555555558</v>
      </c>
      <c r="E836" t="s">
        <v>87</v>
      </c>
      <c r="F836" t="s">
        <v>77</v>
      </c>
      <c r="G836" t="s">
        <v>107</v>
      </c>
      <c r="H836" t="s">
        <v>109</v>
      </c>
      <c r="I836" t="s">
        <v>122</v>
      </c>
      <c r="J836" t="s">
        <v>123</v>
      </c>
      <c r="K836" t="s">
        <v>475</v>
      </c>
      <c r="L836" t="s">
        <v>473</v>
      </c>
      <c r="M836" t="s">
        <v>480</v>
      </c>
      <c r="O836" t="s">
        <v>503</v>
      </c>
      <c r="P836" t="s">
        <v>474</v>
      </c>
    </row>
    <row r="837" spans="1:16" x14ac:dyDescent="0.3">
      <c r="A837" t="s">
        <v>1141</v>
      </c>
      <c r="B837" t="s">
        <v>74</v>
      </c>
      <c r="C837" s="51">
        <v>46301.958333333336</v>
      </c>
      <c r="D837" s="51">
        <v>46299.854861111111</v>
      </c>
      <c r="E837" t="s">
        <v>87</v>
      </c>
      <c r="F837" t="s">
        <v>48</v>
      </c>
      <c r="G837" t="s">
        <v>49</v>
      </c>
      <c r="H837" t="s">
        <v>75</v>
      </c>
      <c r="I837" t="s">
        <v>76</v>
      </c>
      <c r="J837" t="s">
        <v>70</v>
      </c>
      <c r="K837" t="s">
        <v>469</v>
      </c>
      <c r="L837" t="s">
        <v>470</v>
      </c>
      <c r="M837" t="s">
        <v>471</v>
      </c>
      <c r="N837">
        <v>15731512</v>
      </c>
      <c r="O837" t="s">
        <v>52</v>
      </c>
      <c r="P837" t="s">
        <v>472</v>
      </c>
    </row>
    <row r="838" spans="1:16" x14ac:dyDescent="0.3">
      <c r="A838" t="s">
        <v>1142</v>
      </c>
      <c r="B838" t="s">
        <v>67</v>
      </c>
      <c r="C838" s="51">
        <v>46301.958333333336</v>
      </c>
      <c r="D838" s="51">
        <v>46299.854861111111</v>
      </c>
      <c r="E838" t="s">
        <v>87</v>
      </c>
      <c r="F838" t="s">
        <v>48</v>
      </c>
      <c r="G838" t="s">
        <v>49</v>
      </c>
      <c r="H838" t="s">
        <v>68</v>
      </c>
      <c r="I838" t="s">
        <v>69</v>
      </c>
      <c r="J838" t="s">
        <v>70</v>
      </c>
      <c r="K838" t="s">
        <v>469</v>
      </c>
      <c r="L838" t="s">
        <v>470</v>
      </c>
      <c r="M838" t="s">
        <v>471</v>
      </c>
      <c r="N838">
        <v>15731518</v>
      </c>
      <c r="O838" t="s">
        <v>52</v>
      </c>
      <c r="P838" t="s">
        <v>472</v>
      </c>
    </row>
    <row r="839" spans="1:16" x14ac:dyDescent="0.3">
      <c r="A839" t="s">
        <v>1143</v>
      </c>
      <c r="B839" t="s">
        <v>124</v>
      </c>
      <c r="C839" s="51">
        <v>46300.916666666664</v>
      </c>
      <c r="D839" s="51">
        <v>46299.808333333334</v>
      </c>
      <c r="E839" t="s">
        <v>87</v>
      </c>
      <c r="F839" t="s">
        <v>77</v>
      </c>
      <c r="G839" t="s">
        <v>107</v>
      </c>
      <c r="H839" t="s">
        <v>125</v>
      </c>
      <c r="I839" t="s">
        <v>122</v>
      </c>
      <c r="J839" t="s">
        <v>126</v>
      </c>
      <c r="K839" t="s">
        <v>475</v>
      </c>
      <c r="L839" t="s">
        <v>473</v>
      </c>
      <c r="M839" t="s">
        <v>490</v>
      </c>
      <c r="O839" t="s">
        <v>503</v>
      </c>
      <c r="P839" t="s">
        <v>474</v>
      </c>
    </row>
    <row r="840" spans="1:16" x14ac:dyDescent="0.3">
      <c r="A840" t="s">
        <v>1144</v>
      </c>
      <c r="B840" t="s">
        <v>47</v>
      </c>
      <c r="C840" s="51">
        <v>46301.458333333336</v>
      </c>
      <c r="D840" s="51">
        <v>46299.756249999999</v>
      </c>
      <c r="E840" t="s">
        <v>87</v>
      </c>
      <c r="F840" t="s">
        <v>48</v>
      </c>
      <c r="G840" t="s">
        <v>49</v>
      </c>
      <c r="H840" t="s">
        <v>50</v>
      </c>
      <c r="I840" t="s">
        <v>66</v>
      </c>
      <c r="J840" t="s">
        <v>51</v>
      </c>
      <c r="K840" t="s">
        <v>469</v>
      </c>
      <c r="L840" t="s">
        <v>470</v>
      </c>
      <c r="M840" t="s">
        <v>471</v>
      </c>
      <c r="O840" t="s">
        <v>52</v>
      </c>
      <c r="P840" t="s">
        <v>472</v>
      </c>
    </row>
    <row r="841" spans="1:16" x14ac:dyDescent="0.3">
      <c r="A841" t="s">
        <v>1145</v>
      </c>
      <c r="B841" t="s">
        <v>74</v>
      </c>
      <c r="C841" s="51">
        <v>46301.938194444447</v>
      </c>
      <c r="D841" s="51">
        <v>46299.755555555559</v>
      </c>
      <c r="E841" t="s">
        <v>87</v>
      </c>
      <c r="F841" t="s">
        <v>48</v>
      </c>
      <c r="G841" t="s">
        <v>49</v>
      </c>
      <c r="H841" t="s">
        <v>75</v>
      </c>
      <c r="I841" t="s">
        <v>139</v>
      </c>
      <c r="J841" t="s">
        <v>70</v>
      </c>
      <c r="K841" t="s">
        <v>469</v>
      </c>
      <c r="L841" t="s">
        <v>470</v>
      </c>
      <c r="M841" t="s">
        <v>471</v>
      </c>
      <c r="N841">
        <v>15731522</v>
      </c>
      <c r="O841" t="s">
        <v>52</v>
      </c>
      <c r="P841" t="s">
        <v>472</v>
      </c>
    </row>
    <row r="842" spans="1:16" x14ac:dyDescent="0.3">
      <c r="A842" t="s">
        <v>1146</v>
      </c>
      <c r="B842" t="s">
        <v>74</v>
      </c>
      <c r="C842" s="51">
        <v>46301.958333333336</v>
      </c>
      <c r="D842" s="51">
        <v>46299.755555555559</v>
      </c>
      <c r="E842" t="s">
        <v>87</v>
      </c>
      <c r="F842" t="s">
        <v>48</v>
      </c>
      <c r="G842" t="s">
        <v>49</v>
      </c>
      <c r="H842" t="s">
        <v>75</v>
      </c>
      <c r="I842" t="s">
        <v>139</v>
      </c>
      <c r="J842" t="s">
        <v>70</v>
      </c>
      <c r="K842" t="s">
        <v>469</v>
      </c>
      <c r="L842" t="s">
        <v>470</v>
      </c>
      <c r="M842" t="s">
        <v>471</v>
      </c>
      <c r="N842">
        <v>15731596</v>
      </c>
      <c r="O842" t="s">
        <v>52</v>
      </c>
      <c r="P842" t="s">
        <v>472</v>
      </c>
    </row>
    <row r="843" spans="1:16" x14ac:dyDescent="0.3">
      <c r="A843" t="s">
        <v>1147</v>
      </c>
      <c r="B843" t="s">
        <v>67</v>
      </c>
      <c r="C843" s="51">
        <v>46301.938194444447</v>
      </c>
      <c r="D843" s="51">
        <v>46299.740972222222</v>
      </c>
      <c r="E843" t="s">
        <v>87</v>
      </c>
      <c r="F843" t="s">
        <v>48</v>
      </c>
      <c r="G843" t="s">
        <v>49</v>
      </c>
      <c r="H843" t="s">
        <v>68</v>
      </c>
      <c r="I843" t="s">
        <v>69</v>
      </c>
      <c r="J843" t="s">
        <v>70</v>
      </c>
      <c r="K843" t="s">
        <v>469</v>
      </c>
      <c r="L843" t="s">
        <v>470</v>
      </c>
      <c r="M843" t="s">
        <v>471</v>
      </c>
      <c r="N843">
        <v>15731604</v>
      </c>
      <c r="O843" t="s">
        <v>52</v>
      </c>
      <c r="P843" t="s">
        <v>472</v>
      </c>
    </row>
    <row r="844" spans="1:16" x14ac:dyDescent="0.3">
      <c r="A844" t="s">
        <v>1148</v>
      </c>
      <c r="B844" t="s">
        <v>47</v>
      </c>
      <c r="C844" s="51">
        <v>46301.458333333336</v>
      </c>
      <c r="D844" s="51">
        <v>46299.738888888889</v>
      </c>
      <c r="E844" t="s">
        <v>87</v>
      </c>
      <c r="F844" t="s">
        <v>48</v>
      </c>
      <c r="G844" t="s">
        <v>49</v>
      </c>
      <c r="H844" t="s">
        <v>50</v>
      </c>
      <c r="I844" t="s">
        <v>66</v>
      </c>
      <c r="J844" t="s">
        <v>51</v>
      </c>
      <c r="K844" t="s">
        <v>469</v>
      </c>
      <c r="L844" t="s">
        <v>470</v>
      </c>
      <c r="M844" t="s">
        <v>471</v>
      </c>
      <c r="O844" t="s">
        <v>52</v>
      </c>
      <c r="P844" t="s">
        <v>472</v>
      </c>
    </row>
    <row r="845" spans="1:16" x14ac:dyDescent="0.3">
      <c r="A845" t="s">
        <v>1149</v>
      </c>
      <c r="B845" t="s">
        <v>57</v>
      </c>
      <c r="C845" s="51">
        <v>46300.75</v>
      </c>
      <c r="D845" s="51">
        <v>46299.724305555559</v>
      </c>
      <c r="E845" t="s">
        <v>87</v>
      </c>
      <c r="F845" t="s">
        <v>58</v>
      </c>
      <c r="G845" t="s">
        <v>59</v>
      </c>
      <c r="H845" t="s">
        <v>60</v>
      </c>
      <c r="I845" t="s">
        <v>173</v>
      </c>
      <c r="J845" t="s">
        <v>55</v>
      </c>
      <c r="K845" t="s">
        <v>484</v>
      </c>
      <c r="L845" t="s">
        <v>473</v>
      </c>
      <c r="M845" t="s">
        <v>1150</v>
      </c>
      <c r="O845" t="s">
        <v>56</v>
      </c>
      <c r="P845" t="s">
        <v>474</v>
      </c>
    </row>
    <row r="846" spans="1:16" x14ac:dyDescent="0.3">
      <c r="A846" t="s">
        <v>1151</v>
      </c>
      <c r="B846" t="s">
        <v>108</v>
      </c>
      <c r="C846" s="51">
        <v>46300.75</v>
      </c>
      <c r="D846" s="51">
        <v>46299.722222222219</v>
      </c>
      <c r="E846" t="s">
        <v>87</v>
      </c>
      <c r="F846" t="s">
        <v>77</v>
      </c>
      <c r="G846" t="s">
        <v>107</v>
      </c>
      <c r="H846" t="s">
        <v>109</v>
      </c>
      <c r="I846" t="s">
        <v>122</v>
      </c>
      <c r="J846" t="s">
        <v>123</v>
      </c>
      <c r="K846" t="s">
        <v>475</v>
      </c>
      <c r="L846" t="s">
        <v>473</v>
      </c>
      <c r="M846">
        <v>2096581326</v>
      </c>
      <c r="O846" t="s">
        <v>503</v>
      </c>
      <c r="P846" t="s">
        <v>474</v>
      </c>
    </row>
    <row r="847" spans="1:16" x14ac:dyDescent="0.3">
      <c r="A847" t="s">
        <v>1152</v>
      </c>
      <c r="B847" t="s">
        <v>71</v>
      </c>
      <c r="C847" s="51">
        <v>46302.938194444447</v>
      </c>
      <c r="D847" s="51">
        <v>46299.713888888888</v>
      </c>
      <c r="E847" t="s">
        <v>87</v>
      </c>
      <c r="F847" t="s">
        <v>48</v>
      </c>
      <c r="G847" t="s">
        <v>49</v>
      </c>
      <c r="H847" t="s">
        <v>72</v>
      </c>
      <c r="I847" t="s">
        <v>73</v>
      </c>
      <c r="J847" t="s">
        <v>70</v>
      </c>
      <c r="K847" t="s">
        <v>469</v>
      </c>
      <c r="L847" t="s">
        <v>470</v>
      </c>
      <c r="M847" t="s">
        <v>471</v>
      </c>
      <c r="N847">
        <v>15734624</v>
      </c>
      <c r="O847" t="s">
        <v>52</v>
      </c>
      <c r="P847" t="s">
        <v>472</v>
      </c>
    </row>
    <row r="848" spans="1:16" x14ac:dyDescent="0.3">
      <c r="A848" t="s">
        <v>1153</v>
      </c>
      <c r="B848" t="s">
        <v>131</v>
      </c>
      <c r="C848" s="51">
        <v>46300.75</v>
      </c>
      <c r="D848" s="51">
        <v>46299.713194444441</v>
      </c>
      <c r="E848" t="s">
        <v>87</v>
      </c>
      <c r="F848" t="s">
        <v>77</v>
      </c>
      <c r="G848" t="s">
        <v>132</v>
      </c>
      <c r="H848" t="s">
        <v>132</v>
      </c>
      <c r="I848" t="s">
        <v>84</v>
      </c>
      <c r="J848" t="s">
        <v>55</v>
      </c>
      <c r="K848" t="s">
        <v>487</v>
      </c>
      <c r="L848" t="s">
        <v>473</v>
      </c>
      <c r="M848">
        <v>111111</v>
      </c>
      <c r="O848" t="s">
        <v>56</v>
      </c>
      <c r="P848" t="s">
        <v>474</v>
      </c>
    </row>
    <row r="849" spans="1:16" x14ac:dyDescent="0.3">
      <c r="A849" t="s">
        <v>1154</v>
      </c>
      <c r="B849" t="s">
        <v>168</v>
      </c>
      <c r="C849" s="51">
        <v>46300.708333333336</v>
      </c>
      <c r="D849" s="51">
        <v>46299.697916666664</v>
      </c>
      <c r="E849" t="s">
        <v>87</v>
      </c>
      <c r="F849" t="s">
        <v>53</v>
      </c>
      <c r="G849" t="s">
        <v>54</v>
      </c>
      <c r="H849" t="s">
        <v>169</v>
      </c>
      <c r="I849" t="s">
        <v>170</v>
      </c>
      <c r="J849" t="s">
        <v>171</v>
      </c>
      <c r="K849" t="s">
        <v>481</v>
      </c>
      <c r="L849" t="s">
        <v>473</v>
      </c>
      <c r="M849" t="s">
        <v>476</v>
      </c>
      <c r="O849" t="s">
        <v>56</v>
      </c>
      <c r="P849" t="s">
        <v>474</v>
      </c>
    </row>
    <row r="850" spans="1:16" x14ac:dyDescent="0.3">
      <c r="A850" t="s">
        <v>1155</v>
      </c>
      <c r="B850" t="s">
        <v>158</v>
      </c>
      <c r="C850" s="51">
        <v>46300.75</v>
      </c>
      <c r="D850" s="51">
        <v>46299.697222222225</v>
      </c>
      <c r="E850" t="s">
        <v>87</v>
      </c>
      <c r="F850" t="s">
        <v>53</v>
      </c>
      <c r="G850" t="s">
        <v>54</v>
      </c>
      <c r="H850" t="s">
        <v>159</v>
      </c>
      <c r="I850" t="s">
        <v>160</v>
      </c>
      <c r="J850" t="s">
        <v>55</v>
      </c>
      <c r="K850" t="s">
        <v>484</v>
      </c>
      <c r="L850" t="s">
        <v>473</v>
      </c>
      <c r="M850" t="s">
        <v>476</v>
      </c>
      <c r="O850" t="s">
        <v>503</v>
      </c>
      <c r="P850" t="s">
        <v>474</v>
      </c>
    </row>
    <row r="851" spans="1:16" x14ac:dyDescent="0.3">
      <c r="A851" t="s">
        <v>1156</v>
      </c>
      <c r="B851" t="s">
        <v>108</v>
      </c>
      <c r="C851" s="51">
        <v>46300.708333333336</v>
      </c>
      <c r="D851" s="51">
        <v>46299.693055555559</v>
      </c>
      <c r="E851" t="s">
        <v>87</v>
      </c>
      <c r="F851" t="s">
        <v>77</v>
      </c>
      <c r="G851" t="s">
        <v>107</v>
      </c>
      <c r="H851" t="s">
        <v>109</v>
      </c>
      <c r="I851" t="s">
        <v>122</v>
      </c>
      <c r="J851" t="s">
        <v>123</v>
      </c>
      <c r="K851" t="s">
        <v>475</v>
      </c>
      <c r="L851" t="s">
        <v>473</v>
      </c>
      <c r="M851">
        <v>0</v>
      </c>
      <c r="O851" t="s">
        <v>503</v>
      </c>
      <c r="P851" t="s">
        <v>474</v>
      </c>
    </row>
    <row r="852" spans="1:16" x14ac:dyDescent="0.3">
      <c r="A852" t="s">
        <v>1157</v>
      </c>
      <c r="B852" t="s">
        <v>57</v>
      </c>
      <c r="C852" s="51">
        <v>46300.708333333336</v>
      </c>
      <c r="D852" s="51">
        <v>46299.682638888888</v>
      </c>
      <c r="E852" t="s">
        <v>87</v>
      </c>
      <c r="F852" t="s">
        <v>58</v>
      </c>
      <c r="G852" t="s">
        <v>59</v>
      </c>
      <c r="H852" t="s">
        <v>60</v>
      </c>
      <c r="I852" t="s">
        <v>61</v>
      </c>
      <c r="J852" t="s">
        <v>55</v>
      </c>
      <c r="K852" t="s">
        <v>486</v>
      </c>
      <c r="L852" t="s">
        <v>473</v>
      </c>
      <c r="M852" t="s">
        <v>480</v>
      </c>
      <c r="O852" t="s">
        <v>56</v>
      </c>
      <c r="P852" t="s">
        <v>474</v>
      </c>
    </row>
    <row r="853" spans="1:16" x14ac:dyDescent="0.3">
      <c r="A853" t="s">
        <v>1158</v>
      </c>
      <c r="B853" t="s">
        <v>79</v>
      </c>
      <c r="C853" s="51">
        <v>46300.708333333336</v>
      </c>
      <c r="D853" s="51">
        <v>46299.675694444442</v>
      </c>
      <c r="E853" t="s">
        <v>87</v>
      </c>
      <c r="F853" t="s">
        <v>77</v>
      </c>
      <c r="G853" t="s">
        <v>78</v>
      </c>
      <c r="H853" t="s">
        <v>80</v>
      </c>
      <c r="I853" t="s">
        <v>81</v>
      </c>
      <c r="J853" t="s">
        <v>55</v>
      </c>
      <c r="K853" t="s">
        <v>482</v>
      </c>
      <c r="L853" t="s">
        <v>473</v>
      </c>
      <c r="M853" t="s">
        <v>478</v>
      </c>
      <c r="O853" t="s">
        <v>503</v>
      </c>
      <c r="P853" t="s">
        <v>474</v>
      </c>
    </row>
    <row r="854" spans="1:16" x14ac:dyDescent="0.3">
      <c r="A854" t="s">
        <v>1159</v>
      </c>
      <c r="B854" t="s">
        <v>57</v>
      </c>
      <c r="C854" s="51">
        <v>46300.708333333336</v>
      </c>
      <c r="D854" s="51">
        <v>46299.674305555556</v>
      </c>
      <c r="E854" t="s">
        <v>87</v>
      </c>
      <c r="F854" t="s">
        <v>58</v>
      </c>
      <c r="G854" t="s">
        <v>59</v>
      </c>
      <c r="H854" t="s">
        <v>60</v>
      </c>
      <c r="I854" t="s">
        <v>82</v>
      </c>
      <c r="J854" t="s">
        <v>83</v>
      </c>
      <c r="K854" t="s">
        <v>486</v>
      </c>
      <c r="L854" t="s">
        <v>473</v>
      </c>
      <c r="M854" t="s">
        <v>1150</v>
      </c>
      <c r="O854" t="s">
        <v>56</v>
      </c>
      <c r="P854" t="s">
        <v>474</v>
      </c>
    </row>
    <row r="855" spans="1:16" x14ac:dyDescent="0.3">
      <c r="A855" t="s">
        <v>1160</v>
      </c>
      <c r="B855" t="s">
        <v>67</v>
      </c>
      <c r="C855" s="51">
        <v>46302.938194444447</v>
      </c>
      <c r="D855" s="51">
        <v>46299.670138888891</v>
      </c>
      <c r="E855" t="s">
        <v>87</v>
      </c>
      <c r="F855" t="s">
        <v>48</v>
      </c>
      <c r="G855" t="s">
        <v>49</v>
      </c>
      <c r="H855" t="s">
        <v>68</v>
      </c>
      <c r="I855" t="s">
        <v>69</v>
      </c>
      <c r="J855" t="s">
        <v>70</v>
      </c>
      <c r="K855" t="s">
        <v>469</v>
      </c>
      <c r="L855" t="s">
        <v>470</v>
      </c>
      <c r="M855" t="s">
        <v>471</v>
      </c>
      <c r="N855">
        <v>15734610</v>
      </c>
      <c r="O855" t="s">
        <v>52</v>
      </c>
      <c r="P855" t="s">
        <v>472</v>
      </c>
    </row>
    <row r="856" spans="1:16" x14ac:dyDescent="0.3">
      <c r="A856" t="s">
        <v>1161</v>
      </c>
      <c r="B856" t="s">
        <v>67</v>
      </c>
      <c r="C856" s="51">
        <v>46303.938194444447</v>
      </c>
      <c r="D856" s="51">
        <v>46299.666666666664</v>
      </c>
      <c r="E856" t="s">
        <v>87</v>
      </c>
      <c r="F856" t="s">
        <v>48</v>
      </c>
      <c r="G856" t="s">
        <v>49</v>
      </c>
      <c r="H856" t="s">
        <v>68</v>
      </c>
      <c r="I856" t="s">
        <v>69</v>
      </c>
      <c r="J856" t="s">
        <v>70</v>
      </c>
      <c r="K856" t="s">
        <v>469</v>
      </c>
      <c r="L856" t="s">
        <v>470</v>
      </c>
      <c r="M856" t="s">
        <v>471</v>
      </c>
      <c r="N856">
        <v>15734414</v>
      </c>
      <c r="O856" t="s">
        <v>52</v>
      </c>
      <c r="P856" t="s">
        <v>472</v>
      </c>
    </row>
    <row r="857" spans="1:16" x14ac:dyDescent="0.3">
      <c r="A857" t="s">
        <v>1162</v>
      </c>
      <c r="B857" t="s">
        <v>158</v>
      </c>
      <c r="C857" s="51">
        <v>46300.666666666664</v>
      </c>
      <c r="D857" s="51">
        <v>46299.659722222219</v>
      </c>
      <c r="E857" t="s">
        <v>87</v>
      </c>
      <c r="F857" t="s">
        <v>53</v>
      </c>
      <c r="G857" t="s">
        <v>54</v>
      </c>
      <c r="H857" t="s">
        <v>159</v>
      </c>
      <c r="I857" t="s">
        <v>535</v>
      </c>
      <c r="J857" t="s">
        <v>55</v>
      </c>
      <c r="K857" t="s">
        <v>484</v>
      </c>
      <c r="L857" t="s">
        <v>473</v>
      </c>
      <c r="M857" t="s">
        <v>1163</v>
      </c>
      <c r="O857" t="s">
        <v>56</v>
      </c>
      <c r="P857" t="s">
        <v>474</v>
      </c>
    </row>
    <row r="858" spans="1:16" x14ac:dyDescent="0.3">
      <c r="A858" t="s">
        <v>1164</v>
      </c>
      <c r="B858" t="s">
        <v>57</v>
      </c>
      <c r="C858" s="51">
        <v>46300.666666666664</v>
      </c>
      <c r="D858" s="51">
        <v>46299.640277777777</v>
      </c>
      <c r="E858" t="s">
        <v>87</v>
      </c>
      <c r="F858" t="s">
        <v>58</v>
      </c>
      <c r="G858" t="s">
        <v>59</v>
      </c>
      <c r="H858" t="s">
        <v>60</v>
      </c>
      <c r="I858" t="s">
        <v>82</v>
      </c>
      <c r="J858" t="s">
        <v>88</v>
      </c>
      <c r="K858" t="s">
        <v>469</v>
      </c>
      <c r="L858" t="s">
        <v>473</v>
      </c>
      <c r="M858" t="s">
        <v>1165</v>
      </c>
      <c r="O858" t="s">
        <v>503</v>
      </c>
      <c r="P858" t="s">
        <v>474</v>
      </c>
    </row>
    <row r="859" spans="1:16" x14ac:dyDescent="0.3">
      <c r="A859" t="s">
        <v>1166</v>
      </c>
      <c r="B859" t="s">
        <v>79</v>
      </c>
      <c r="C859" s="51">
        <v>46300.75</v>
      </c>
      <c r="D859" s="51">
        <v>46299.637499999997</v>
      </c>
      <c r="E859" t="s">
        <v>87</v>
      </c>
      <c r="F859" t="s">
        <v>77</v>
      </c>
      <c r="G859" t="s">
        <v>78</v>
      </c>
      <c r="H859" t="s">
        <v>80</v>
      </c>
      <c r="I859" t="s">
        <v>81</v>
      </c>
      <c r="J859" t="s">
        <v>55</v>
      </c>
      <c r="K859" t="s">
        <v>482</v>
      </c>
      <c r="L859" t="s">
        <v>473</v>
      </c>
      <c r="M859" t="s">
        <v>476</v>
      </c>
      <c r="O859" t="s">
        <v>503</v>
      </c>
      <c r="P859" t="s">
        <v>474</v>
      </c>
    </row>
    <row r="860" spans="1:16" x14ac:dyDescent="0.3">
      <c r="A860" t="s">
        <v>1167</v>
      </c>
      <c r="B860" t="s">
        <v>108</v>
      </c>
      <c r="C860" s="51">
        <v>46300.666666666664</v>
      </c>
      <c r="D860" s="51">
        <v>46299.634722222225</v>
      </c>
      <c r="E860" t="s">
        <v>87</v>
      </c>
      <c r="F860" t="s">
        <v>77</v>
      </c>
      <c r="G860" t="s">
        <v>107</v>
      </c>
      <c r="H860" t="s">
        <v>109</v>
      </c>
      <c r="I860" t="s">
        <v>122</v>
      </c>
      <c r="J860" t="s">
        <v>123</v>
      </c>
      <c r="K860" t="s">
        <v>475</v>
      </c>
      <c r="L860" t="s">
        <v>473</v>
      </c>
      <c r="M860" t="s">
        <v>476</v>
      </c>
      <c r="O860" t="s">
        <v>503</v>
      </c>
      <c r="P860" t="s">
        <v>474</v>
      </c>
    </row>
    <row r="861" spans="1:16" x14ac:dyDescent="0.3">
      <c r="A861" t="s">
        <v>1168</v>
      </c>
      <c r="B861" t="s">
        <v>57</v>
      </c>
      <c r="C861" s="51">
        <v>46300.666666666664</v>
      </c>
      <c r="D861" s="51">
        <v>46299.633333333331</v>
      </c>
      <c r="E861" t="s">
        <v>87</v>
      </c>
      <c r="F861" t="s">
        <v>58</v>
      </c>
      <c r="G861" t="s">
        <v>59</v>
      </c>
      <c r="H861" t="s">
        <v>60</v>
      </c>
      <c r="I861" t="s">
        <v>82</v>
      </c>
      <c r="J861" t="s">
        <v>83</v>
      </c>
      <c r="K861" t="s">
        <v>469</v>
      </c>
      <c r="L861" t="s">
        <v>473</v>
      </c>
      <c r="M861" t="s">
        <v>1165</v>
      </c>
      <c r="O861" t="s">
        <v>56</v>
      </c>
      <c r="P861" t="s">
        <v>474</v>
      </c>
    </row>
    <row r="862" spans="1:16" x14ac:dyDescent="0.3">
      <c r="A862" t="s">
        <v>1169</v>
      </c>
      <c r="B862" t="s">
        <v>108</v>
      </c>
      <c r="C862" s="51">
        <v>46300.625</v>
      </c>
      <c r="D862" s="51">
        <v>46299.62222222222</v>
      </c>
      <c r="E862" t="s">
        <v>87</v>
      </c>
      <c r="F862" t="s">
        <v>77</v>
      </c>
      <c r="G862" t="s">
        <v>107</v>
      </c>
      <c r="H862" t="s">
        <v>109</v>
      </c>
      <c r="I862" t="s">
        <v>122</v>
      </c>
      <c r="J862" t="s">
        <v>123</v>
      </c>
      <c r="K862" t="s">
        <v>475</v>
      </c>
      <c r="L862" t="s">
        <v>473</v>
      </c>
      <c r="M862">
        <v>111111</v>
      </c>
      <c r="O862" t="s">
        <v>56</v>
      </c>
      <c r="P862" t="s">
        <v>474</v>
      </c>
    </row>
    <row r="863" spans="1:16" x14ac:dyDescent="0.3">
      <c r="A863" t="s">
        <v>1170</v>
      </c>
      <c r="B863" t="s">
        <v>67</v>
      </c>
      <c r="C863" s="51">
        <v>46302.938194444447</v>
      </c>
      <c r="D863" s="51">
        <v>46299.618750000001</v>
      </c>
      <c r="E863" t="s">
        <v>87</v>
      </c>
      <c r="F863" t="s">
        <v>48</v>
      </c>
      <c r="G863" t="s">
        <v>49</v>
      </c>
      <c r="H863" t="s">
        <v>68</v>
      </c>
      <c r="I863" t="s">
        <v>69</v>
      </c>
      <c r="J863" t="s">
        <v>70</v>
      </c>
      <c r="K863" t="s">
        <v>469</v>
      </c>
      <c r="L863" t="s">
        <v>470</v>
      </c>
      <c r="M863" t="s">
        <v>471</v>
      </c>
      <c r="N863">
        <v>15734302</v>
      </c>
      <c r="O863" t="s">
        <v>52</v>
      </c>
      <c r="P863" t="s">
        <v>472</v>
      </c>
    </row>
    <row r="864" spans="1:16" x14ac:dyDescent="0.3">
      <c r="A864" t="s">
        <v>1171</v>
      </c>
      <c r="B864" t="s">
        <v>74</v>
      </c>
      <c r="C864" s="51">
        <v>46303.938194444447</v>
      </c>
      <c r="D864" s="51">
        <v>46299.618750000001</v>
      </c>
      <c r="E864" t="s">
        <v>87</v>
      </c>
      <c r="F864" t="s">
        <v>48</v>
      </c>
      <c r="G864" t="s">
        <v>49</v>
      </c>
      <c r="H864" t="s">
        <v>75</v>
      </c>
      <c r="I864" t="s">
        <v>86</v>
      </c>
      <c r="J864" t="s">
        <v>70</v>
      </c>
      <c r="K864" t="s">
        <v>469</v>
      </c>
      <c r="L864" t="s">
        <v>470</v>
      </c>
      <c r="M864" t="s">
        <v>471</v>
      </c>
      <c r="N864">
        <v>15734286</v>
      </c>
      <c r="O864" t="s">
        <v>52</v>
      </c>
      <c r="P864" t="s">
        <v>472</v>
      </c>
    </row>
    <row r="865" spans="1:16" x14ac:dyDescent="0.3">
      <c r="A865" t="s">
        <v>1172</v>
      </c>
      <c r="B865" t="s">
        <v>67</v>
      </c>
      <c r="C865" s="51">
        <v>46302.938194444447</v>
      </c>
      <c r="D865" s="51">
        <v>46299.615277777775</v>
      </c>
      <c r="E865" t="s">
        <v>87</v>
      </c>
      <c r="F865" t="s">
        <v>48</v>
      </c>
      <c r="G865" t="s">
        <v>49</v>
      </c>
      <c r="H865" t="s">
        <v>68</v>
      </c>
      <c r="I865" t="s">
        <v>69</v>
      </c>
      <c r="J865" t="s">
        <v>70</v>
      </c>
      <c r="K865" t="s">
        <v>469</v>
      </c>
      <c r="L865" t="s">
        <v>470</v>
      </c>
      <c r="M865" t="s">
        <v>471</v>
      </c>
      <c r="N865">
        <v>15734024</v>
      </c>
      <c r="O865" t="s">
        <v>52</v>
      </c>
      <c r="P865" t="s">
        <v>472</v>
      </c>
    </row>
    <row r="866" spans="1:16" x14ac:dyDescent="0.3">
      <c r="A866" t="s">
        <v>1173</v>
      </c>
      <c r="B866" t="s">
        <v>47</v>
      </c>
      <c r="C866" s="51">
        <v>46303.9375</v>
      </c>
      <c r="D866" s="51">
        <v>46299.605555555558</v>
      </c>
      <c r="E866" t="s">
        <v>87</v>
      </c>
      <c r="F866" t="s">
        <v>48</v>
      </c>
      <c r="G866" t="s">
        <v>49</v>
      </c>
      <c r="H866" t="s">
        <v>50</v>
      </c>
      <c r="I866" t="s">
        <v>149</v>
      </c>
      <c r="J866" t="s">
        <v>51</v>
      </c>
      <c r="K866" t="s">
        <v>469</v>
      </c>
      <c r="L866" t="s">
        <v>470</v>
      </c>
      <c r="M866" t="s">
        <v>471</v>
      </c>
      <c r="N866">
        <v>15733826</v>
      </c>
      <c r="O866" t="s">
        <v>52</v>
      </c>
      <c r="P866" t="s">
        <v>472</v>
      </c>
    </row>
    <row r="867" spans="1:16" x14ac:dyDescent="0.3">
      <c r="A867" t="s">
        <v>1174</v>
      </c>
      <c r="B867" t="s">
        <v>71</v>
      </c>
      <c r="C867" s="51">
        <v>46303.938194444447</v>
      </c>
      <c r="D867" s="51">
        <v>46299.604861111111</v>
      </c>
      <c r="E867" t="s">
        <v>87</v>
      </c>
      <c r="F867" t="s">
        <v>48</v>
      </c>
      <c r="G867" t="s">
        <v>49</v>
      </c>
      <c r="H867" t="s">
        <v>72</v>
      </c>
      <c r="I867" t="s">
        <v>73</v>
      </c>
      <c r="J867" t="s">
        <v>70</v>
      </c>
      <c r="K867" t="s">
        <v>469</v>
      </c>
      <c r="L867" t="s">
        <v>470</v>
      </c>
      <c r="M867" t="s">
        <v>471</v>
      </c>
      <c r="N867">
        <v>15733882</v>
      </c>
      <c r="O867" t="s">
        <v>52</v>
      </c>
      <c r="P867" t="s">
        <v>472</v>
      </c>
    </row>
    <row r="868" spans="1:16" x14ac:dyDescent="0.3">
      <c r="A868" t="s">
        <v>1175</v>
      </c>
      <c r="B868" t="s">
        <v>47</v>
      </c>
      <c r="C868" s="51">
        <v>46303.938194444447</v>
      </c>
      <c r="D868" s="51">
        <v>46299.604861111111</v>
      </c>
      <c r="E868" t="s">
        <v>87</v>
      </c>
      <c r="F868" t="s">
        <v>48</v>
      </c>
      <c r="G868" t="s">
        <v>49</v>
      </c>
      <c r="H868" t="s">
        <v>50</v>
      </c>
      <c r="I868" t="s">
        <v>149</v>
      </c>
      <c r="J868" t="s">
        <v>51</v>
      </c>
      <c r="K868" t="s">
        <v>469</v>
      </c>
      <c r="L868" t="s">
        <v>470</v>
      </c>
      <c r="M868" t="s">
        <v>471</v>
      </c>
      <c r="N868">
        <v>15733850</v>
      </c>
      <c r="O868" t="s">
        <v>52</v>
      </c>
      <c r="P868" t="s">
        <v>472</v>
      </c>
    </row>
    <row r="869" spans="1:16" x14ac:dyDescent="0.3">
      <c r="A869" t="s">
        <v>1176</v>
      </c>
      <c r="B869" t="s">
        <v>108</v>
      </c>
      <c r="C869" s="51">
        <v>46300.625</v>
      </c>
      <c r="D869" s="51">
        <v>46299.597916666666</v>
      </c>
      <c r="E869" t="s">
        <v>87</v>
      </c>
      <c r="F869" t="s">
        <v>77</v>
      </c>
      <c r="G869" t="s">
        <v>107</v>
      </c>
      <c r="H869" t="s">
        <v>109</v>
      </c>
      <c r="I869" t="s">
        <v>122</v>
      </c>
      <c r="J869" t="s">
        <v>123</v>
      </c>
      <c r="K869" t="s">
        <v>475</v>
      </c>
      <c r="L869" t="s">
        <v>473</v>
      </c>
      <c r="M869">
        <v>0</v>
      </c>
      <c r="O869" t="s">
        <v>56</v>
      </c>
      <c r="P869" t="s">
        <v>474</v>
      </c>
    </row>
    <row r="870" spans="1:16" x14ac:dyDescent="0.3">
      <c r="A870" t="s">
        <v>1177</v>
      </c>
      <c r="B870" t="s">
        <v>168</v>
      </c>
      <c r="C870" s="51">
        <v>46300.625</v>
      </c>
      <c r="D870" s="51">
        <v>46299.59375</v>
      </c>
      <c r="E870" t="s">
        <v>87</v>
      </c>
      <c r="F870" t="s">
        <v>53</v>
      </c>
      <c r="G870" t="s">
        <v>54</v>
      </c>
      <c r="H870" t="s">
        <v>169</v>
      </c>
      <c r="I870" t="s">
        <v>170</v>
      </c>
      <c r="J870" t="s">
        <v>171</v>
      </c>
      <c r="K870" t="s">
        <v>481</v>
      </c>
      <c r="L870" t="s">
        <v>473</v>
      </c>
      <c r="M870" t="s">
        <v>480</v>
      </c>
      <c r="O870" t="s">
        <v>503</v>
      </c>
      <c r="P870" t="s">
        <v>474</v>
      </c>
    </row>
    <row r="871" spans="1:16" x14ac:dyDescent="0.3">
      <c r="A871" t="s">
        <v>1178</v>
      </c>
      <c r="B871" t="s">
        <v>124</v>
      </c>
      <c r="C871" s="51">
        <v>46300.625</v>
      </c>
      <c r="D871" s="51">
        <v>46299.590277777781</v>
      </c>
      <c r="E871" t="s">
        <v>87</v>
      </c>
      <c r="F871" t="s">
        <v>77</v>
      </c>
      <c r="G871" t="s">
        <v>107</v>
      </c>
      <c r="H871" t="s">
        <v>125</v>
      </c>
      <c r="I871" t="s">
        <v>122</v>
      </c>
      <c r="J871" t="s">
        <v>126</v>
      </c>
      <c r="K871" t="s">
        <v>475</v>
      </c>
      <c r="L871" t="s">
        <v>473</v>
      </c>
      <c r="M871" t="s">
        <v>476</v>
      </c>
      <c r="O871" t="s">
        <v>56</v>
      </c>
      <c r="P871" t="s">
        <v>474</v>
      </c>
    </row>
    <row r="872" spans="1:16" x14ac:dyDescent="0.3">
      <c r="A872" t="s">
        <v>1179</v>
      </c>
      <c r="B872" t="s">
        <v>108</v>
      </c>
      <c r="C872" s="51">
        <v>46300.583333333336</v>
      </c>
      <c r="D872" s="51">
        <v>46299.568749999999</v>
      </c>
      <c r="E872" t="s">
        <v>87</v>
      </c>
      <c r="F872" t="s">
        <v>77</v>
      </c>
      <c r="G872" t="s">
        <v>107</v>
      </c>
      <c r="H872" t="s">
        <v>109</v>
      </c>
      <c r="I872" t="s">
        <v>122</v>
      </c>
      <c r="J872" t="s">
        <v>123</v>
      </c>
      <c r="K872" t="s">
        <v>475</v>
      </c>
      <c r="L872" t="s">
        <v>473</v>
      </c>
      <c r="M872">
        <v>2096581326</v>
      </c>
      <c r="O872" t="s">
        <v>56</v>
      </c>
      <c r="P872" t="s">
        <v>474</v>
      </c>
    </row>
    <row r="873" spans="1:16" x14ac:dyDescent="0.3">
      <c r="A873" t="s">
        <v>1180</v>
      </c>
      <c r="B873" t="s">
        <v>124</v>
      </c>
      <c r="C873" s="51">
        <v>46300.583333333336</v>
      </c>
      <c r="D873" s="51">
        <v>46299.564583333333</v>
      </c>
      <c r="E873" t="s">
        <v>87</v>
      </c>
      <c r="F873" t="s">
        <v>77</v>
      </c>
      <c r="G873" t="s">
        <v>107</v>
      </c>
      <c r="H873" t="s">
        <v>125</v>
      </c>
      <c r="I873" t="s">
        <v>122</v>
      </c>
      <c r="J873" t="s">
        <v>126</v>
      </c>
      <c r="K873" t="s">
        <v>475</v>
      </c>
      <c r="L873" t="s">
        <v>473</v>
      </c>
      <c r="M873" t="s">
        <v>480</v>
      </c>
      <c r="O873" t="s">
        <v>503</v>
      </c>
      <c r="P873" t="s">
        <v>474</v>
      </c>
    </row>
    <row r="874" spans="1:16" x14ac:dyDescent="0.3">
      <c r="A874" t="s">
        <v>1181</v>
      </c>
      <c r="B874" t="s">
        <v>124</v>
      </c>
      <c r="C874" s="51">
        <v>46300.583333333336</v>
      </c>
      <c r="D874" s="51">
        <v>46299.558333333334</v>
      </c>
      <c r="E874" t="s">
        <v>87</v>
      </c>
      <c r="F874" t="s">
        <v>77</v>
      </c>
      <c r="G874" t="s">
        <v>107</v>
      </c>
      <c r="H874" t="s">
        <v>125</v>
      </c>
      <c r="I874" t="s">
        <v>122</v>
      </c>
      <c r="J874" t="s">
        <v>126</v>
      </c>
      <c r="K874" t="s">
        <v>475</v>
      </c>
      <c r="L874" t="s">
        <v>473</v>
      </c>
      <c r="M874" t="s">
        <v>1138</v>
      </c>
      <c r="O874" t="s">
        <v>503</v>
      </c>
      <c r="P874" t="s">
        <v>474</v>
      </c>
    </row>
    <row r="875" spans="1:16" x14ac:dyDescent="0.3">
      <c r="A875" t="s">
        <v>1182</v>
      </c>
      <c r="B875" t="s">
        <v>108</v>
      </c>
      <c r="C875" s="51">
        <v>46300.583333333336</v>
      </c>
      <c r="D875" s="51">
        <v>46299.552777777775</v>
      </c>
      <c r="E875" t="s">
        <v>87</v>
      </c>
      <c r="F875" t="s">
        <v>77</v>
      </c>
      <c r="G875" t="s">
        <v>107</v>
      </c>
      <c r="H875" t="s">
        <v>109</v>
      </c>
      <c r="I875" t="s">
        <v>122</v>
      </c>
      <c r="J875" t="s">
        <v>123</v>
      </c>
      <c r="K875" t="s">
        <v>475</v>
      </c>
      <c r="L875" t="s">
        <v>473</v>
      </c>
      <c r="M875" t="s">
        <v>480</v>
      </c>
      <c r="O875" t="s">
        <v>56</v>
      </c>
      <c r="P875" t="s">
        <v>474</v>
      </c>
    </row>
    <row r="876" spans="1:16" x14ac:dyDescent="0.3">
      <c r="A876" t="s">
        <v>1183</v>
      </c>
      <c r="B876" t="s">
        <v>79</v>
      </c>
      <c r="C876" s="51">
        <v>46300.583333333336</v>
      </c>
      <c r="D876" s="51">
        <v>46299.551388888889</v>
      </c>
      <c r="E876" t="s">
        <v>87</v>
      </c>
      <c r="F876" t="s">
        <v>77</v>
      </c>
      <c r="G876" t="s">
        <v>78</v>
      </c>
      <c r="H876" t="s">
        <v>80</v>
      </c>
      <c r="I876" t="s">
        <v>81</v>
      </c>
      <c r="J876" t="s">
        <v>93</v>
      </c>
      <c r="K876" t="s">
        <v>482</v>
      </c>
      <c r="L876" t="s">
        <v>473</v>
      </c>
      <c r="M876" t="s">
        <v>480</v>
      </c>
      <c r="O876" t="s">
        <v>503</v>
      </c>
      <c r="P876" t="s">
        <v>474</v>
      </c>
    </row>
    <row r="877" spans="1:16" x14ac:dyDescent="0.3">
      <c r="A877" t="s">
        <v>1184</v>
      </c>
      <c r="B877" t="s">
        <v>108</v>
      </c>
      <c r="C877" s="51">
        <v>46300.583333333336</v>
      </c>
      <c r="D877" s="51">
        <v>46299.547222222223</v>
      </c>
      <c r="E877" t="s">
        <v>87</v>
      </c>
      <c r="F877" t="s">
        <v>77</v>
      </c>
      <c r="G877" t="s">
        <v>107</v>
      </c>
      <c r="H877" t="s">
        <v>109</v>
      </c>
      <c r="I877" t="s">
        <v>122</v>
      </c>
      <c r="J877" t="s">
        <v>123</v>
      </c>
      <c r="K877" t="s">
        <v>475</v>
      </c>
      <c r="L877" t="s">
        <v>473</v>
      </c>
      <c r="M877">
        <v>111111</v>
      </c>
      <c r="O877" t="s">
        <v>56</v>
      </c>
      <c r="P877" t="s">
        <v>474</v>
      </c>
    </row>
    <row r="878" spans="1:16" x14ac:dyDescent="0.3">
      <c r="A878" t="s">
        <v>1185</v>
      </c>
      <c r="B878" t="s">
        <v>74</v>
      </c>
      <c r="C878" s="51">
        <v>46302.938194444447</v>
      </c>
      <c r="D878" s="51">
        <v>46299.541666666664</v>
      </c>
      <c r="E878" t="s">
        <v>87</v>
      </c>
      <c r="F878" t="s">
        <v>48</v>
      </c>
      <c r="G878" t="s">
        <v>49</v>
      </c>
      <c r="H878" t="s">
        <v>75</v>
      </c>
      <c r="I878" t="s">
        <v>76</v>
      </c>
      <c r="J878" t="s">
        <v>70</v>
      </c>
      <c r="K878" t="s">
        <v>469</v>
      </c>
      <c r="L878" t="s">
        <v>470</v>
      </c>
      <c r="M878" t="s">
        <v>471</v>
      </c>
      <c r="N878">
        <v>15733916</v>
      </c>
      <c r="O878" t="s">
        <v>52</v>
      </c>
      <c r="P878" t="s">
        <v>472</v>
      </c>
    </row>
    <row r="879" spans="1:16" x14ac:dyDescent="0.3">
      <c r="A879" t="s">
        <v>1186</v>
      </c>
      <c r="B879" t="s">
        <v>124</v>
      </c>
      <c r="C879" s="51">
        <v>46300.541666666664</v>
      </c>
      <c r="D879" s="51">
        <v>46299.533333333333</v>
      </c>
      <c r="E879" t="s">
        <v>87</v>
      </c>
      <c r="F879" t="s">
        <v>77</v>
      </c>
      <c r="G879" t="s">
        <v>107</v>
      </c>
      <c r="H879" t="s">
        <v>125</v>
      </c>
      <c r="I879" t="s">
        <v>122</v>
      </c>
      <c r="J879" t="s">
        <v>126</v>
      </c>
      <c r="K879" t="s">
        <v>475</v>
      </c>
      <c r="L879" t="s">
        <v>473</v>
      </c>
      <c r="M879">
        <v>222222</v>
      </c>
      <c r="O879" t="s">
        <v>503</v>
      </c>
      <c r="P879" t="s">
        <v>474</v>
      </c>
    </row>
    <row r="880" spans="1:16" x14ac:dyDescent="0.3">
      <c r="A880" t="s">
        <v>1187</v>
      </c>
      <c r="B880" t="s">
        <v>47</v>
      </c>
      <c r="C880" s="51">
        <v>46302.9375</v>
      </c>
      <c r="D880" s="51">
        <v>46299.532638888886</v>
      </c>
      <c r="E880" t="s">
        <v>87</v>
      </c>
      <c r="F880" t="s">
        <v>48</v>
      </c>
      <c r="G880" t="s">
        <v>49</v>
      </c>
      <c r="H880" t="s">
        <v>50</v>
      </c>
      <c r="I880" t="s">
        <v>149</v>
      </c>
      <c r="J880" t="s">
        <v>51</v>
      </c>
      <c r="K880" t="s">
        <v>469</v>
      </c>
      <c r="L880" t="s">
        <v>470</v>
      </c>
      <c r="M880" t="s">
        <v>471</v>
      </c>
      <c r="N880">
        <v>15733624</v>
      </c>
      <c r="O880" t="s">
        <v>52</v>
      </c>
      <c r="P880" t="s">
        <v>472</v>
      </c>
    </row>
    <row r="881" spans="1:16" x14ac:dyDescent="0.3">
      <c r="A881" t="s">
        <v>1188</v>
      </c>
      <c r="B881" t="s">
        <v>79</v>
      </c>
      <c r="C881" s="51">
        <v>46300.791666666664</v>
      </c>
      <c r="D881" s="51">
        <v>46299.529861111114</v>
      </c>
      <c r="E881" t="s">
        <v>87</v>
      </c>
      <c r="F881" t="s">
        <v>77</v>
      </c>
      <c r="G881" t="s">
        <v>78</v>
      </c>
      <c r="H881" t="s">
        <v>80</v>
      </c>
      <c r="I881" t="s">
        <v>81</v>
      </c>
      <c r="J881" t="s">
        <v>93</v>
      </c>
      <c r="K881" t="s">
        <v>482</v>
      </c>
      <c r="L881" t="s">
        <v>473</v>
      </c>
      <c r="M881" t="s">
        <v>1189</v>
      </c>
      <c r="O881" t="s">
        <v>503</v>
      </c>
      <c r="P881" t="s">
        <v>474</v>
      </c>
    </row>
    <row r="882" spans="1:16" x14ac:dyDescent="0.3">
      <c r="A882" t="s">
        <v>1190</v>
      </c>
      <c r="B882" t="s">
        <v>108</v>
      </c>
      <c r="C882" s="51">
        <v>46300.541666666664</v>
      </c>
      <c r="D882" s="51">
        <v>46299.527083333334</v>
      </c>
      <c r="E882" t="s">
        <v>87</v>
      </c>
      <c r="F882" t="s">
        <v>77</v>
      </c>
      <c r="G882" t="s">
        <v>107</v>
      </c>
      <c r="H882" t="s">
        <v>109</v>
      </c>
      <c r="I882" t="s">
        <v>122</v>
      </c>
      <c r="J882" t="s">
        <v>123</v>
      </c>
      <c r="K882" t="s">
        <v>475</v>
      </c>
      <c r="L882" t="s">
        <v>473</v>
      </c>
      <c r="M882">
        <v>0</v>
      </c>
      <c r="O882" t="s">
        <v>503</v>
      </c>
      <c r="P882" t="s">
        <v>474</v>
      </c>
    </row>
    <row r="883" spans="1:16" x14ac:dyDescent="0.3">
      <c r="A883" t="s">
        <v>1191</v>
      </c>
      <c r="B883" t="s">
        <v>47</v>
      </c>
      <c r="C883" s="51">
        <v>46301.938194444447</v>
      </c>
      <c r="D883" s="51">
        <v>46299.491666666669</v>
      </c>
      <c r="E883" t="s">
        <v>87</v>
      </c>
      <c r="F883" t="s">
        <v>48</v>
      </c>
      <c r="G883" t="s">
        <v>49</v>
      </c>
      <c r="H883" t="s">
        <v>50</v>
      </c>
      <c r="I883" t="s">
        <v>149</v>
      </c>
      <c r="J883" t="s">
        <v>51</v>
      </c>
      <c r="K883" t="s">
        <v>469</v>
      </c>
      <c r="L883" t="s">
        <v>470</v>
      </c>
      <c r="M883" t="s">
        <v>471</v>
      </c>
      <c r="N883">
        <v>15733480</v>
      </c>
      <c r="O883" t="s">
        <v>52</v>
      </c>
      <c r="P883" t="s">
        <v>472</v>
      </c>
    </row>
    <row r="884" spans="1:16" x14ac:dyDescent="0.3">
      <c r="A884" t="s">
        <v>1192</v>
      </c>
      <c r="B884" t="s">
        <v>74</v>
      </c>
      <c r="C884" s="51">
        <v>46301.938194444447</v>
      </c>
      <c r="D884" s="51">
        <v>46299.481944444444</v>
      </c>
      <c r="E884" t="s">
        <v>87</v>
      </c>
      <c r="F884" t="s">
        <v>48</v>
      </c>
      <c r="G884" t="s">
        <v>49</v>
      </c>
      <c r="H884" t="s">
        <v>75</v>
      </c>
      <c r="I884" t="s">
        <v>86</v>
      </c>
      <c r="J884" t="s">
        <v>70</v>
      </c>
      <c r="K884" t="s">
        <v>469</v>
      </c>
      <c r="L884" t="s">
        <v>470</v>
      </c>
      <c r="M884" t="s">
        <v>471</v>
      </c>
      <c r="N884">
        <v>15733496</v>
      </c>
      <c r="O884" t="s">
        <v>52</v>
      </c>
      <c r="P884" t="s">
        <v>472</v>
      </c>
    </row>
    <row r="885" spans="1:16" x14ac:dyDescent="0.3">
      <c r="A885" t="s">
        <v>1193</v>
      </c>
      <c r="B885" t="s">
        <v>47</v>
      </c>
      <c r="C885" s="51">
        <v>46301.625</v>
      </c>
      <c r="D885" s="51">
        <v>46299.481944444444</v>
      </c>
      <c r="E885" t="s">
        <v>87</v>
      </c>
      <c r="F885" t="s">
        <v>48</v>
      </c>
      <c r="G885" t="s">
        <v>49</v>
      </c>
      <c r="H885" t="s">
        <v>50</v>
      </c>
      <c r="I885" t="s">
        <v>66</v>
      </c>
      <c r="J885" t="s">
        <v>51</v>
      </c>
      <c r="K885" t="s">
        <v>469</v>
      </c>
      <c r="L885" t="s">
        <v>470</v>
      </c>
      <c r="M885" t="s">
        <v>471</v>
      </c>
      <c r="O885" t="s">
        <v>52</v>
      </c>
      <c r="P885" t="s">
        <v>472</v>
      </c>
    </row>
    <row r="886" spans="1:16" x14ac:dyDescent="0.3">
      <c r="A886" t="s">
        <v>1194</v>
      </c>
      <c r="B886" t="s">
        <v>74</v>
      </c>
      <c r="C886" s="51">
        <v>46303.938194444447</v>
      </c>
      <c r="D886" s="51">
        <v>46299.481944444444</v>
      </c>
      <c r="E886" t="s">
        <v>87</v>
      </c>
      <c r="F886" t="s">
        <v>48</v>
      </c>
      <c r="G886" t="s">
        <v>49</v>
      </c>
      <c r="H886" t="s">
        <v>75</v>
      </c>
      <c r="I886" t="s">
        <v>86</v>
      </c>
      <c r="J886" t="s">
        <v>70</v>
      </c>
      <c r="K886" t="s">
        <v>469</v>
      </c>
      <c r="L886" t="s">
        <v>470</v>
      </c>
      <c r="M886" t="s">
        <v>471</v>
      </c>
      <c r="N886">
        <v>15733654</v>
      </c>
      <c r="O886" t="s">
        <v>52</v>
      </c>
      <c r="P886" t="s">
        <v>472</v>
      </c>
    </row>
    <row r="887" spans="1:16" x14ac:dyDescent="0.3">
      <c r="A887" t="s">
        <v>1195</v>
      </c>
      <c r="B887" t="s">
        <v>108</v>
      </c>
      <c r="C887" s="51">
        <v>46300.5</v>
      </c>
      <c r="D887" s="51">
        <v>46299.478472222225</v>
      </c>
      <c r="E887" t="s">
        <v>87</v>
      </c>
      <c r="F887" t="s">
        <v>77</v>
      </c>
      <c r="G887" t="s">
        <v>107</v>
      </c>
      <c r="H887" t="s">
        <v>109</v>
      </c>
      <c r="I887" t="s">
        <v>122</v>
      </c>
      <c r="J887" t="s">
        <v>123</v>
      </c>
      <c r="K887" t="s">
        <v>475</v>
      </c>
      <c r="L887" t="s">
        <v>473</v>
      </c>
      <c r="M887">
        <v>0</v>
      </c>
      <c r="O887" t="s">
        <v>56</v>
      </c>
      <c r="P887" t="s">
        <v>474</v>
      </c>
    </row>
    <row r="888" spans="1:16" x14ac:dyDescent="0.3">
      <c r="A888" t="s">
        <v>1196</v>
      </c>
      <c r="B888" t="s">
        <v>108</v>
      </c>
      <c r="C888" s="51">
        <v>46300.5</v>
      </c>
      <c r="D888" s="51">
        <v>46299.475694444445</v>
      </c>
      <c r="E888" t="s">
        <v>87</v>
      </c>
      <c r="F888" t="s">
        <v>77</v>
      </c>
      <c r="G888" t="s">
        <v>107</v>
      </c>
      <c r="H888" t="s">
        <v>109</v>
      </c>
      <c r="I888" t="s">
        <v>122</v>
      </c>
      <c r="J888" t="s">
        <v>123</v>
      </c>
      <c r="K888" t="s">
        <v>475</v>
      </c>
      <c r="L888" t="s">
        <v>473</v>
      </c>
      <c r="O888" t="s">
        <v>56</v>
      </c>
      <c r="P888" t="s">
        <v>474</v>
      </c>
    </row>
    <row r="889" spans="1:16" x14ac:dyDescent="0.3">
      <c r="A889" t="s">
        <v>1197</v>
      </c>
      <c r="B889" t="s">
        <v>67</v>
      </c>
      <c r="C889" s="51">
        <v>46302.938194444447</v>
      </c>
      <c r="D889" s="51">
        <v>46299.461111111108</v>
      </c>
      <c r="E889" t="s">
        <v>87</v>
      </c>
      <c r="F889" t="s">
        <v>48</v>
      </c>
      <c r="G889" t="s">
        <v>49</v>
      </c>
      <c r="H889" t="s">
        <v>68</v>
      </c>
      <c r="I889" t="s">
        <v>69</v>
      </c>
      <c r="J889" t="s">
        <v>70</v>
      </c>
      <c r="K889" t="s">
        <v>469</v>
      </c>
      <c r="L889" t="s">
        <v>470</v>
      </c>
      <c r="M889" t="s">
        <v>471</v>
      </c>
      <c r="N889">
        <v>15733728</v>
      </c>
      <c r="O889" t="s">
        <v>52</v>
      </c>
      <c r="P889" t="s">
        <v>472</v>
      </c>
    </row>
    <row r="890" spans="1:16" x14ac:dyDescent="0.3">
      <c r="A890" t="s">
        <v>1198</v>
      </c>
      <c r="B890" t="s">
        <v>124</v>
      </c>
      <c r="C890" s="51">
        <v>46300.5</v>
      </c>
      <c r="D890" s="51">
        <v>46299.459027777775</v>
      </c>
      <c r="E890" t="s">
        <v>87</v>
      </c>
      <c r="F890" t="s">
        <v>77</v>
      </c>
      <c r="G890" t="s">
        <v>107</v>
      </c>
      <c r="H890" t="s">
        <v>125</v>
      </c>
      <c r="I890" t="s">
        <v>122</v>
      </c>
      <c r="J890" t="s">
        <v>126</v>
      </c>
      <c r="K890" t="s">
        <v>475</v>
      </c>
      <c r="L890" t="s">
        <v>473</v>
      </c>
      <c r="M890" t="s">
        <v>524</v>
      </c>
      <c r="O890" t="s">
        <v>56</v>
      </c>
      <c r="P890" t="s">
        <v>474</v>
      </c>
    </row>
    <row r="891" spans="1:16" x14ac:dyDescent="0.3">
      <c r="A891" t="s">
        <v>1199</v>
      </c>
      <c r="B891" t="s">
        <v>67</v>
      </c>
      <c r="C891" s="51">
        <v>46301.938194444447</v>
      </c>
      <c r="D891" s="51">
        <v>46299.457638888889</v>
      </c>
      <c r="E891" t="s">
        <v>87</v>
      </c>
      <c r="F891" t="s">
        <v>48</v>
      </c>
      <c r="G891" t="s">
        <v>49</v>
      </c>
      <c r="H891" t="s">
        <v>68</v>
      </c>
      <c r="I891" t="s">
        <v>69</v>
      </c>
      <c r="J891" t="s">
        <v>70</v>
      </c>
      <c r="K891" t="s">
        <v>469</v>
      </c>
      <c r="L891" t="s">
        <v>470</v>
      </c>
      <c r="M891" t="s">
        <v>471</v>
      </c>
      <c r="N891">
        <v>15733430</v>
      </c>
      <c r="O891" t="s">
        <v>52</v>
      </c>
      <c r="P891" t="s">
        <v>472</v>
      </c>
    </row>
    <row r="892" spans="1:16" x14ac:dyDescent="0.3">
      <c r="A892" t="s">
        <v>1200</v>
      </c>
      <c r="B892" t="s">
        <v>67</v>
      </c>
      <c r="C892" s="51">
        <v>46301.938194444447</v>
      </c>
      <c r="D892" s="51">
        <v>46299.457638888889</v>
      </c>
      <c r="E892" t="s">
        <v>87</v>
      </c>
      <c r="F892" t="s">
        <v>48</v>
      </c>
      <c r="G892" t="s">
        <v>49</v>
      </c>
      <c r="H892" t="s">
        <v>68</v>
      </c>
      <c r="I892" t="s">
        <v>69</v>
      </c>
      <c r="J892" t="s">
        <v>70</v>
      </c>
      <c r="K892" t="s">
        <v>469</v>
      </c>
      <c r="L892" t="s">
        <v>470</v>
      </c>
      <c r="M892" t="s">
        <v>471</v>
      </c>
      <c r="N892">
        <v>15733396</v>
      </c>
      <c r="O892" t="s">
        <v>52</v>
      </c>
      <c r="P892" t="s">
        <v>472</v>
      </c>
    </row>
    <row r="893" spans="1:16" x14ac:dyDescent="0.3">
      <c r="A893" t="s">
        <v>1201</v>
      </c>
      <c r="B893" t="s">
        <v>155</v>
      </c>
      <c r="C893" s="51">
        <v>46301.938194444447</v>
      </c>
      <c r="D893" s="51">
        <v>46299.446527777778</v>
      </c>
      <c r="E893" t="s">
        <v>87</v>
      </c>
      <c r="F893" t="s">
        <v>53</v>
      </c>
      <c r="G893" t="s">
        <v>85</v>
      </c>
      <c r="H893" t="s">
        <v>156</v>
      </c>
      <c r="I893" t="s">
        <v>157</v>
      </c>
      <c r="J893" t="s">
        <v>70</v>
      </c>
      <c r="K893" t="s">
        <v>469</v>
      </c>
      <c r="L893" t="s">
        <v>470</v>
      </c>
      <c r="M893" t="s">
        <v>471</v>
      </c>
      <c r="N893">
        <v>15733252</v>
      </c>
      <c r="O893" t="s">
        <v>52</v>
      </c>
      <c r="P893" t="s">
        <v>472</v>
      </c>
    </row>
    <row r="894" spans="1:16" x14ac:dyDescent="0.3">
      <c r="A894" t="s">
        <v>1202</v>
      </c>
      <c r="B894" t="s">
        <v>108</v>
      </c>
      <c r="C894" s="51">
        <v>46300.458333333336</v>
      </c>
      <c r="D894" s="51">
        <v>46299.440972222219</v>
      </c>
      <c r="E894" t="s">
        <v>87</v>
      </c>
      <c r="F894" t="s">
        <v>77</v>
      </c>
      <c r="G894" t="s">
        <v>107</v>
      </c>
      <c r="H894" t="s">
        <v>109</v>
      </c>
      <c r="I894" t="s">
        <v>122</v>
      </c>
      <c r="J894" t="s">
        <v>123</v>
      </c>
      <c r="K894" t="s">
        <v>475</v>
      </c>
      <c r="L894" t="s">
        <v>473</v>
      </c>
      <c r="M894" t="s">
        <v>485</v>
      </c>
      <c r="O894" t="s">
        <v>56</v>
      </c>
      <c r="P894" t="s">
        <v>474</v>
      </c>
    </row>
    <row r="895" spans="1:16" x14ac:dyDescent="0.3">
      <c r="A895" t="s">
        <v>1203</v>
      </c>
      <c r="B895" t="s">
        <v>67</v>
      </c>
      <c r="C895" s="51">
        <v>46301.9375</v>
      </c>
      <c r="D895" s="51">
        <v>46299.438194444447</v>
      </c>
      <c r="E895" t="s">
        <v>87</v>
      </c>
      <c r="F895" t="s">
        <v>48</v>
      </c>
      <c r="G895" t="s">
        <v>49</v>
      </c>
      <c r="H895" t="s">
        <v>68</v>
      </c>
      <c r="I895" t="s">
        <v>69</v>
      </c>
      <c r="J895" t="s">
        <v>70</v>
      </c>
      <c r="K895" t="s">
        <v>469</v>
      </c>
      <c r="L895" t="s">
        <v>470</v>
      </c>
      <c r="M895" t="s">
        <v>471</v>
      </c>
      <c r="N895">
        <v>15733198</v>
      </c>
      <c r="O895" t="s">
        <v>52</v>
      </c>
      <c r="P895" t="s">
        <v>472</v>
      </c>
    </row>
    <row r="896" spans="1:16" x14ac:dyDescent="0.3">
      <c r="A896" t="s">
        <v>1204</v>
      </c>
      <c r="B896" t="s">
        <v>108</v>
      </c>
      <c r="C896" s="51">
        <v>46300.458333333336</v>
      </c>
      <c r="D896" s="51">
        <v>46299.4375</v>
      </c>
      <c r="E896" t="s">
        <v>87</v>
      </c>
      <c r="F896" t="s">
        <v>77</v>
      </c>
      <c r="G896" t="s">
        <v>107</v>
      </c>
      <c r="H896" t="s">
        <v>109</v>
      </c>
      <c r="I896" t="s">
        <v>122</v>
      </c>
      <c r="J896" t="s">
        <v>123</v>
      </c>
      <c r="K896" t="s">
        <v>475</v>
      </c>
      <c r="L896" t="s">
        <v>473</v>
      </c>
      <c r="M896" t="s">
        <v>492</v>
      </c>
      <c r="O896" t="s">
        <v>56</v>
      </c>
      <c r="P896" t="s">
        <v>474</v>
      </c>
    </row>
    <row r="897" spans="1:16" x14ac:dyDescent="0.3">
      <c r="A897" t="s">
        <v>1205</v>
      </c>
      <c r="B897" t="s">
        <v>155</v>
      </c>
      <c r="C897" s="51">
        <v>46301.938194444447</v>
      </c>
      <c r="D897" s="51">
        <v>46299.4375</v>
      </c>
      <c r="E897" t="s">
        <v>87</v>
      </c>
      <c r="F897" t="s">
        <v>53</v>
      </c>
      <c r="G897" t="s">
        <v>85</v>
      </c>
      <c r="H897" t="s">
        <v>156</v>
      </c>
      <c r="I897" t="s">
        <v>157</v>
      </c>
      <c r="J897" t="s">
        <v>70</v>
      </c>
      <c r="K897" t="s">
        <v>469</v>
      </c>
      <c r="L897" t="s">
        <v>470</v>
      </c>
      <c r="M897" t="s">
        <v>471</v>
      </c>
      <c r="N897">
        <v>15733226</v>
      </c>
      <c r="O897" t="s">
        <v>52</v>
      </c>
      <c r="P897" t="s">
        <v>472</v>
      </c>
    </row>
    <row r="898" spans="1:16" x14ac:dyDescent="0.3">
      <c r="A898" t="s">
        <v>1206</v>
      </c>
      <c r="B898" t="s">
        <v>124</v>
      </c>
      <c r="C898" s="51">
        <v>46300.458333333336</v>
      </c>
      <c r="D898" s="51">
        <v>46299.425694444442</v>
      </c>
      <c r="E898" t="s">
        <v>87</v>
      </c>
      <c r="F898" t="s">
        <v>77</v>
      </c>
      <c r="G898" t="s">
        <v>107</v>
      </c>
      <c r="H898" t="s">
        <v>125</v>
      </c>
      <c r="I898" t="s">
        <v>122</v>
      </c>
      <c r="J898" t="s">
        <v>126</v>
      </c>
      <c r="K898" t="s">
        <v>475</v>
      </c>
      <c r="L898" t="s">
        <v>473</v>
      </c>
      <c r="M898">
        <v>222222</v>
      </c>
      <c r="O898" t="s">
        <v>503</v>
      </c>
      <c r="P898" t="s">
        <v>474</v>
      </c>
    </row>
    <row r="899" spans="1:16" x14ac:dyDescent="0.3">
      <c r="A899" t="s">
        <v>1207</v>
      </c>
      <c r="B899" t="s">
        <v>108</v>
      </c>
      <c r="C899" s="51">
        <v>46300.458333333336</v>
      </c>
      <c r="D899" s="51">
        <v>46299.424305555556</v>
      </c>
      <c r="E899" t="s">
        <v>87</v>
      </c>
      <c r="F899" t="s">
        <v>77</v>
      </c>
      <c r="G899" t="s">
        <v>107</v>
      </c>
      <c r="H899" t="s">
        <v>109</v>
      </c>
      <c r="I899" t="s">
        <v>122</v>
      </c>
      <c r="J899" t="s">
        <v>123</v>
      </c>
      <c r="K899" t="s">
        <v>475</v>
      </c>
      <c r="L899" t="s">
        <v>473</v>
      </c>
      <c r="M899" t="s">
        <v>492</v>
      </c>
      <c r="O899" t="s">
        <v>503</v>
      </c>
      <c r="P899" t="s">
        <v>474</v>
      </c>
    </row>
    <row r="900" spans="1:16" x14ac:dyDescent="0.3">
      <c r="A900" t="s">
        <v>1208</v>
      </c>
      <c r="B900" t="s">
        <v>47</v>
      </c>
      <c r="C900" s="51">
        <v>46301.938194444447</v>
      </c>
      <c r="D900" s="51">
        <v>46299.416666666664</v>
      </c>
      <c r="E900" t="s">
        <v>87</v>
      </c>
      <c r="F900" t="s">
        <v>48</v>
      </c>
      <c r="G900" t="s">
        <v>49</v>
      </c>
      <c r="H900" t="s">
        <v>50</v>
      </c>
      <c r="I900" t="s">
        <v>149</v>
      </c>
      <c r="J900" t="s">
        <v>51</v>
      </c>
      <c r="K900" t="s">
        <v>469</v>
      </c>
      <c r="L900" t="s">
        <v>470</v>
      </c>
      <c r="M900" t="s">
        <v>471</v>
      </c>
      <c r="N900">
        <v>15733210</v>
      </c>
      <c r="O900" t="s">
        <v>52</v>
      </c>
      <c r="P900" t="s">
        <v>472</v>
      </c>
    </row>
    <row r="901" spans="1:16" x14ac:dyDescent="0.3">
      <c r="A901" t="s">
        <v>1209</v>
      </c>
      <c r="B901" t="s">
        <v>71</v>
      </c>
      <c r="C901" s="51">
        <v>46301.9375</v>
      </c>
      <c r="D901" s="51">
        <v>46299.416666666664</v>
      </c>
      <c r="E901" t="s">
        <v>87</v>
      </c>
      <c r="F901" t="s">
        <v>48</v>
      </c>
      <c r="G901" t="s">
        <v>49</v>
      </c>
      <c r="H901" t="s">
        <v>72</v>
      </c>
      <c r="I901" t="s">
        <v>73</v>
      </c>
      <c r="J901" t="s">
        <v>70</v>
      </c>
      <c r="K901" t="s">
        <v>469</v>
      </c>
      <c r="L901" t="s">
        <v>470</v>
      </c>
      <c r="M901" t="s">
        <v>471</v>
      </c>
      <c r="N901">
        <v>15733026</v>
      </c>
      <c r="O901" t="s">
        <v>52</v>
      </c>
      <c r="P901" t="s">
        <v>472</v>
      </c>
    </row>
    <row r="902" spans="1:16" x14ac:dyDescent="0.3">
      <c r="A902" t="s">
        <v>1210</v>
      </c>
      <c r="B902" t="s">
        <v>62</v>
      </c>
      <c r="C902" s="51">
        <v>46301.5</v>
      </c>
      <c r="D902" s="51">
        <v>46299.404166666667</v>
      </c>
      <c r="E902" t="s">
        <v>87</v>
      </c>
      <c r="F902" t="s">
        <v>53</v>
      </c>
      <c r="G902" t="s">
        <v>54</v>
      </c>
      <c r="H902" t="s">
        <v>63</v>
      </c>
      <c r="I902" t="s">
        <v>64</v>
      </c>
      <c r="J902" t="s">
        <v>65</v>
      </c>
      <c r="K902" t="s">
        <v>481</v>
      </c>
      <c r="L902" t="s">
        <v>470</v>
      </c>
      <c r="M902" t="s">
        <v>471</v>
      </c>
      <c r="O902" t="s">
        <v>52</v>
      </c>
      <c r="P902" t="s">
        <v>472</v>
      </c>
    </row>
    <row r="903" spans="1:16" x14ac:dyDescent="0.3">
      <c r="A903" t="s">
        <v>1211</v>
      </c>
      <c r="B903" t="s">
        <v>47</v>
      </c>
      <c r="C903" s="51">
        <v>46301.9375</v>
      </c>
      <c r="D903" s="51">
        <v>46299.38958333333</v>
      </c>
      <c r="E903" t="s">
        <v>87</v>
      </c>
      <c r="F903" t="s">
        <v>48</v>
      </c>
      <c r="G903" t="s">
        <v>49</v>
      </c>
      <c r="H903" t="s">
        <v>50</v>
      </c>
      <c r="I903" t="s">
        <v>66</v>
      </c>
      <c r="J903" t="s">
        <v>51</v>
      </c>
      <c r="K903" t="s">
        <v>469</v>
      </c>
      <c r="L903" t="s">
        <v>470</v>
      </c>
      <c r="M903" t="s">
        <v>471</v>
      </c>
      <c r="N903">
        <v>15733036</v>
      </c>
      <c r="O903" t="s">
        <v>52</v>
      </c>
      <c r="P903" t="s">
        <v>472</v>
      </c>
    </row>
    <row r="904" spans="1:16" x14ac:dyDescent="0.3">
      <c r="A904" t="s">
        <v>1212</v>
      </c>
      <c r="B904" t="s">
        <v>124</v>
      </c>
      <c r="C904" s="51">
        <v>46300.375</v>
      </c>
      <c r="D904" s="51">
        <v>46299.359722222223</v>
      </c>
      <c r="E904" t="s">
        <v>87</v>
      </c>
      <c r="F904" t="s">
        <v>77</v>
      </c>
      <c r="G904" t="s">
        <v>107</v>
      </c>
      <c r="H904" t="s">
        <v>125</v>
      </c>
      <c r="I904" t="s">
        <v>122</v>
      </c>
      <c r="J904" t="s">
        <v>126</v>
      </c>
      <c r="K904" t="s">
        <v>475</v>
      </c>
      <c r="L904" t="s">
        <v>473</v>
      </c>
      <c r="M904">
        <v>0</v>
      </c>
      <c r="O904" t="s">
        <v>503</v>
      </c>
      <c r="P904" t="s">
        <v>474</v>
      </c>
    </row>
    <row r="905" spans="1:16" x14ac:dyDescent="0.3">
      <c r="A905" t="s">
        <v>1213</v>
      </c>
      <c r="B905" t="s">
        <v>124</v>
      </c>
      <c r="C905" s="51">
        <v>46300.375</v>
      </c>
      <c r="D905" s="51">
        <v>46299.359027777777</v>
      </c>
      <c r="E905" t="s">
        <v>87</v>
      </c>
      <c r="F905" t="s">
        <v>77</v>
      </c>
      <c r="G905" t="s">
        <v>107</v>
      </c>
      <c r="H905" t="s">
        <v>125</v>
      </c>
      <c r="I905" t="s">
        <v>122</v>
      </c>
      <c r="J905" t="s">
        <v>126</v>
      </c>
      <c r="K905" t="s">
        <v>475</v>
      </c>
      <c r="L905" t="s">
        <v>473</v>
      </c>
      <c r="M905" t="s">
        <v>1214</v>
      </c>
      <c r="O905" t="s">
        <v>56</v>
      </c>
      <c r="P905" t="s">
        <v>474</v>
      </c>
    </row>
    <row r="906" spans="1:16" x14ac:dyDescent="0.3">
      <c r="A906" t="s">
        <v>1215</v>
      </c>
      <c r="B906" t="s">
        <v>155</v>
      </c>
      <c r="C906" s="51">
        <v>46301.938194444447</v>
      </c>
      <c r="D906" s="51">
        <v>46299.268055555556</v>
      </c>
      <c r="E906" t="s">
        <v>87</v>
      </c>
      <c r="F906" t="s">
        <v>53</v>
      </c>
      <c r="G906" t="s">
        <v>85</v>
      </c>
      <c r="H906" t="s">
        <v>156</v>
      </c>
      <c r="I906" t="s">
        <v>157</v>
      </c>
      <c r="J906" t="s">
        <v>70</v>
      </c>
      <c r="K906" t="s">
        <v>469</v>
      </c>
      <c r="L906" t="s">
        <v>470</v>
      </c>
      <c r="M906" t="s">
        <v>471</v>
      </c>
      <c r="N906">
        <v>15733058</v>
      </c>
      <c r="O906" t="s">
        <v>52</v>
      </c>
      <c r="P906" t="s">
        <v>472</v>
      </c>
    </row>
    <row r="907" spans="1:16" x14ac:dyDescent="0.3">
      <c r="A907" t="s">
        <v>1216</v>
      </c>
      <c r="B907" t="s">
        <v>47</v>
      </c>
      <c r="C907" s="51">
        <v>46301.938194444447</v>
      </c>
      <c r="D907" s="51">
        <v>46299.097222222219</v>
      </c>
      <c r="E907" t="s">
        <v>87</v>
      </c>
      <c r="F907" t="s">
        <v>48</v>
      </c>
      <c r="G907" t="s">
        <v>49</v>
      </c>
      <c r="H907" t="s">
        <v>50</v>
      </c>
      <c r="I907" t="s">
        <v>66</v>
      </c>
      <c r="J907" t="s">
        <v>51</v>
      </c>
      <c r="K907" t="s">
        <v>469</v>
      </c>
      <c r="L907" t="s">
        <v>470</v>
      </c>
      <c r="M907" t="s">
        <v>471</v>
      </c>
      <c r="N907">
        <v>15732610</v>
      </c>
      <c r="O907" t="s">
        <v>52</v>
      </c>
      <c r="P907" t="s">
        <v>472</v>
      </c>
    </row>
    <row r="908" spans="1:16" x14ac:dyDescent="0.3">
      <c r="A908" t="s">
        <v>1217</v>
      </c>
      <c r="B908" t="s">
        <v>47</v>
      </c>
      <c r="C908" s="51">
        <v>46301.938194444447</v>
      </c>
      <c r="D908" s="51">
        <v>46299.000694444447</v>
      </c>
      <c r="E908" t="s">
        <v>87</v>
      </c>
      <c r="F908" t="s">
        <v>48</v>
      </c>
      <c r="G908" t="s">
        <v>49</v>
      </c>
      <c r="H908" t="s">
        <v>50</v>
      </c>
      <c r="I908" t="s">
        <v>66</v>
      </c>
      <c r="J908" t="s">
        <v>51</v>
      </c>
      <c r="K908" t="s">
        <v>469</v>
      </c>
      <c r="L908" t="s">
        <v>470</v>
      </c>
      <c r="M908" t="s">
        <v>471</v>
      </c>
      <c r="N908">
        <v>15732056</v>
      </c>
      <c r="O908" t="s">
        <v>52</v>
      </c>
      <c r="P908" t="s">
        <v>472</v>
      </c>
    </row>
    <row r="909" spans="1:16" x14ac:dyDescent="0.3">
      <c r="A909" t="s">
        <v>1218</v>
      </c>
      <c r="B909" t="s">
        <v>108</v>
      </c>
      <c r="C909" s="51">
        <v>46301.041666666664</v>
      </c>
      <c r="D909" s="51">
        <v>46298.936805555553</v>
      </c>
      <c r="E909" t="s">
        <v>87</v>
      </c>
      <c r="F909" t="s">
        <v>77</v>
      </c>
      <c r="G909" t="s">
        <v>107</v>
      </c>
      <c r="H909" t="s">
        <v>109</v>
      </c>
      <c r="I909" t="s">
        <v>122</v>
      </c>
      <c r="J909" t="s">
        <v>123</v>
      </c>
      <c r="K909" t="s">
        <v>475</v>
      </c>
      <c r="L909" t="s">
        <v>473</v>
      </c>
      <c r="O909" t="s">
        <v>503</v>
      </c>
      <c r="P909" t="s">
        <v>474</v>
      </c>
    </row>
    <row r="910" spans="1:16" x14ac:dyDescent="0.3">
      <c r="A910" t="s">
        <v>1219</v>
      </c>
      <c r="B910" t="s">
        <v>124</v>
      </c>
      <c r="C910" s="51">
        <v>46299.916666666664</v>
      </c>
      <c r="D910" s="51">
        <v>46298.892361111109</v>
      </c>
      <c r="E910" t="s">
        <v>87</v>
      </c>
      <c r="F910" t="s">
        <v>77</v>
      </c>
      <c r="G910" t="s">
        <v>107</v>
      </c>
      <c r="H910" t="s">
        <v>125</v>
      </c>
      <c r="I910" t="s">
        <v>122</v>
      </c>
      <c r="J910" t="s">
        <v>126</v>
      </c>
      <c r="K910" t="s">
        <v>475</v>
      </c>
      <c r="L910" t="s">
        <v>473</v>
      </c>
      <c r="M910" t="s">
        <v>495</v>
      </c>
      <c r="O910" t="s">
        <v>503</v>
      </c>
      <c r="P910" t="s">
        <v>474</v>
      </c>
    </row>
    <row r="911" spans="1:16" x14ac:dyDescent="0.3">
      <c r="A911" t="s">
        <v>1220</v>
      </c>
      <c r="B911" t="s">
        <v>108</v>
      </c>
      <c r="C911" s="51">
        <v>46299.875</v>
      </c>
      <c r="D911" s="51">
        <v>46298.870833333334</v>
      </c>
      <c r="E911" t="s">
        <v>87</v>
      </c>
      <c r="F911" t="s">
        <v>77</v>
      </c>
      <c r="G911" t="s">
        <v>107</v>
      </c>
      <c r="H911" t="s">
        <v>109</v>
      </c>
      <c r="I911" t="s">
        <v>122</v>
      </c>
      <c r="J911" t="s">
        <v>123</v>
      </c>
      <c r="K911" t="s">
        <v>475</v>
      </c>
      <c r="L911" t="s">
        <v>473</v>
      </c>
      <c r="M911">
        <v>0</v>
      </c>
      <c r="O911" t="s">
        <v>503</v>
      </c>
      <c r="P911" t="s">
        <v>474</v>
      </c>
    </row>
    <row r="912" spans="1:16" x14ac:dyDescent="0.3">
      <c r="A912" t="s">
        <v>1221</v>
      </c>
      <c r="B912" t="s">
        <v>118</v>
      </c>
      <c r="C912" s="51">
        <v>46299.875</v>
      </c>
      <c r="D912" s="51">
        <v>46298.869444444441</v>
      </c>
      <c r="E912" t="s">
        <v>87</v>
      </c>
      <c r="F912" t="s">
        <v>77</v>
      </c>
      <c r="G912" t="s">
        <v>107</v>
      </c>
      <c r="H912" t="s">
        <v>119</v>
      </c>
      <c r="I912" t="s">
        <v>91</v>
      </c>
      <c r="J912" t="s">
        <v>83</v>
      </c>
      <c r="K912" t="s">
        <v>475</v>
      </c>
      <c r="L912" t="s">
        <v>473</v>
      </c>
      <c r="M912" t="s">
        <v>495</v>
      </c>
      <c r="O912" t="s">
        <v>503</v>
      </c>
      <c r="P912" t="s">
        <v>474</v>
      </c>
    </row>
    <row r="913" spans="1:16" x14ac:dyDescent="0.3">
      <c r="A913" t="s">
        <v>1222</v>
      </c>
      <c r="B913" t="s">
        <v>150</v>
      </c>
      <c r="C913" s="51">
        <v>46299.875</v>
      </c>
      <c r="D913" s="51">
        <v>46298.859027777777</v>
      </c>
      <c r="E913" t="s">
        <v>87</v>
      </c>
      <c r="F913" t="s">
        <v>48</v>
      </c>
      <c r="G913" t="s">
        <v>133</v>
      </c>
      <c r="H913" t="s">
        <v>144</v>
      </c>
      <c r="I913" t="s">
        <v>69</v>
      </c>
      <c r="J913" t="s">
        <v>55</v>
      </c>
      <c r="K913" t="s">
        <v>469</v>
      </c>
      <c r="L913" t="s">
        <v>473</v>
      </c>
      <c r="M913">
        <v>0</v>
      </c>
      <c r="O913" t="s">
        <v>134</v>
      </c>
      <c r="P913" t="s">
        <v>474</v>
      </c>
    </row>
    <row r="914" spans="1:16" x14ac:dyDescent="0.3">
      <c r="A914" t="s">
        <v>1223</v>
      </c>
      <c r="B914" t="s">
        <v>108</v>
      </c>
      <c r="C914" s="51">
        <v>46299.916666666664</v>
      </c>
      <c r="D914" s="51">
        <v>46298.85833333333</v>
      </c>
      <c r="E914" t="s">
        <v>87</v>
      </c>
      <c r="F914" t="s">
        <v>77</v>
      </c>
      <c r="G914" t="s">
        <v>107</v>
      </c>
      <c r="H914" t="s">
        <v>109</v>
      </c>
      <c r="I914" t="s">
        <v>122</v>
      </c>
      <c r="J914" t="s">
        <v>123</v>
      </c>
      <c r="K914" t="s">
        <v>475</v>
      </c>
      <c r="L914" t="s">
        <v>473</v>
      </c>
      <c r="M914">
        <v>0</v>
      </c>
      <c r="O914" t="s">
        <v>503</v>
      </c>
      <c r="P914" t="s">
        <v>474</v>
      </c>
    </row>
    <row r="915" spans="1:16" x14ac:dyDescent="0.3">
      <c r="A915" t="s">
        <v>1224</v>
      </c>
      <c r="B915" t="s">
        <v>140</v>
      </c>
      <c r="C915" s="51">
        <v>46299.916666666664</v>
      </c>
      <c r="D915" s="51">
        <v>46298.817361111112</v>
      </c>
      <c r="E915" t="s">
        <v>87</v>
      </c>
      <c r="F915" t="s">
        <v>48</v>
      </c>
      <c r="G915" t="s">
        <v>141</v>
      </c>
      <c r="H915" t="s">
        <v>141</v>
      </c>
      <c r="I915" t="s">
        <v>84</v>
      </c>
      <c r="J915" t="s">
        <v>55</v>
      </c>
      <c r="K915" t="s">
        <v>487</v>
      </c>
      <c r="L915" t="s">
        <v>473</v>
      </c>
      <c r="M915" t="s">
        <v>485</v>
      </c>
      <c r="O915" t="s">
        <v>129</v>
      </c>
      <c r="P915" t="s">
        <v>474</v>
      </c>
    </row>
    <row r="916" spans="1:16" x14ac:dyDescent="0.3">
      <c r="A916" t="s">
        <v>1225</v>
      </c>
      <c r="B916" t="s">
        <v>118</v>
      </c>
      <c r="C916" s="51">
        <v>46299.833333333336</v>
      </c>
      <c r="D916" s="51">
        <v>46298.817361111112</v>
      </c>
      <c r="E916" t="s">
        <v>87</v>
      </c>
      <c r="F916" t="s">
        <v>77</v>
      </c>
      <c r="G916" t="s">
        <v>107</v>
      </c>
      <c r="H916" t="s">
        <v>119</v>
      </c>
      <c r="I916" t="s">
        <v>91</v>
      </c>
      <c r="J916" t="s">
        <v>83</v>
      </c>
      <c r="K916" t="s">
        <v>475</v>
      </c>
      <c r="L916" t="s">
        <v>473</v>
      </c>
      <c r="M916" t="s">
        <v>488</v>
      </c>
      <c r="O916" t="s">
        <v>503</v>
      </c>
      <c r="P916" t="s">
        <v>474</v>
      </c>
    </row>
    <row r="917" spans="1:16" x14ac:dyDescent="0.3">
      <c r="A917" t="s">
        <v>1226</v>
      </c>
      <c r="B917" t="s">
        <v>124</v>
      </c>
      <c r="C917" s="51">
        <v>46299.833333333336</v>
      </c>
      <c r="D917" s="51">
        <v>46298.816666666666</v>
      </c>
      <c r="E917" t="s">
        <v>87</v>
      </c>
      <c r="F917" t="s">
        <v>77</v>
      </c>
      <c r="G917" t="s">
        <v>107</v>
      </c>
      <c r="H917" t="s">
        <v>125</v>
      </c>
      <c r="I917" t="s">
        <v>122</v>
      </c>
      <c r="J917" t="s">
        <v>126</v>
      </c>
      <c r="K917" t="s">
        <v>475</v>
      </c>
      <c r="L917" t="s">
        <v>473</v>
      </c>
      <c r="M917" t="s">
        <v>480</v>
      </c>
      <c r="O917" t="s">
        <v>503</v>
      </c>
      <c r="P917" t="s">
        <v>474</v>
      </c>
    </row>
    <row r="918" spans="1:16" x14ac:dyDescent="0.3">
      <c r="A918" t="s">
        <v>1227</v>
      </c>
      <c r="B918" t="s">
        <v>110</v>
      </c>
      <c r="C918" s="51">
        <v>46299.833333333336</v>
      </c>
      <c r="D918" s="51">
        <v>46298.808333333334</v>
      </c>
      <c r="E918" t="s">
        <v>87</v>
      </c>
      <c r="F918" t="s">
        <v>77</v>
      </c>
      <c r="G918" t="s">
        <v>107</v>
      </c>
      <c r="H918" t="s">
        <v>111</v>
      </c>
      <c r="I918" t="s">
        <v>81</v>
      </c>
      <c r="J918" t="s">
        <v>128</v>
      </c>
      <c r="K918" t="s">
        <v>475</v>
      </c>
      <c r="L918" t="s">
        <v>473</v>
      </c>
      <c r="M918" t="s">
        <v>478</v>
      </c>
      <c r="O918" t="s">
        <v>503</v>
      </c>
      <c r="P918" t="s">
        <v>474</v>
      </c>
    </row>
    <row r="919" spans="1:16" x14ac:dyDescent="0.3">
      <c r="A919" t="s">
        <v>1228</v>
      </c>
      <c r="B919" t="s">
        <v>124</v>
      </c>
      <c r="C919" s="51">
        <v>46299.791666666664</v>
      </c>
      <c r="D919" s="51">
        <v>46298.786805555559</v>
      </c>
      <c r="E919" t="s">
        <v>87</v>
      </c>
      <c r="F919" t="s">
        <v>77</v>
      </c>
      <c r="G919" t="s">
        <v>107</v>
      </c>
      <c r="H919" t="s">
        <v>125</v>
      </c>
      <c r="I919" t="s">
        <v>122</v>
      </c>
      <c r="J919" t="s">
        <v>126</v>
      </c>
      <c r="K919" t="s">
        <v>475</v>
      </c>
      <c r="L919" t="s">
        <v>473</v>
      </c>
      <c r="M919" t="s">
        <v>478</v>
      </c>
      <c r="O919" t="s">
        <v>503</v>
      </c>
      <c r="P919" t="s">
        <v>474</v>
      </c>
    </row>
    <row r="920" spans="1:16" x14ac:dyDescent="0.3">
      <c r="A920" t="s">
        <v>1229</v>
      </c>
      <c r="B920" t="s">
        <v>108</v>
      </c>
      <c r="C920" s="51">
        <v>46299.791666666664</v>
      </c>
      <c r="D920" s="51">
        <v>46298.761805555558</v>
      </c>
      <c r="E920" t="s">
        <v>87</v>
      </c>
      <c r="F920" t="s">
        <v>77</v>
      </c>
      <c r="G920" t="s">
        <v>107</v>
      </c>
      <c r="H920" t="s">
        <v>109</v>
      </c>
      <c r="I920" t="s">
        <v>122</v>
      </c>
      <c r="J920" t="s">
        <v>123</v>
      </c>
      <c r="K920" t="s">
        <v>475</v>
      </c>
      <c r="L920" t="s">
        <v>473</v>
      </c>
      <c r="M920" t="s">
        <v>478</v>
      </c>
      <c r="O920" t="s">
        <v>503</v>
      </c>
      <c r="P920" t="s">
        <v>474</v>
      </c>
    </row>
    <row r="921" spans="1:16" x14ac:dyDescent="0.3">
      <c r="A921" t="s">
        <v>1230</v>
      </c>
      <c r="B921" t="s">
        <v>108</v>
      </c>
      <c r="C921" s="51">
        <v>46299.916666666664</v>
      </c>
      <c r="D921" s="51">
        <v>46298.750694444447</v>
      </c>
      <c r="E921" t="s">
        <v>87</v>
      </c>
      <c r="F921" t="s">
        <v>77</v>
      </c>
      <c r="G921" t="s">
        <v>107</v>
      </c>
      <c r="H921" t="s">
        <v>109</v>
      </c>
      <c r="I921" t="s">
        <v>122</v>
      </c>
      <c r="J921" t="s">
        <v>55</v>
      </c>
      <c r="K921" t="s">
        <v>475</v>
      </c>
      <c r="L921" t="s">
        <v>473</v>
      </c>
      <c r="M921">
        <v>0</v>
      </c>
      <c r="O921" t="s">
        <v>503</v>
      </c>
      <c r="P921" t="s">
        <v>474</v>
      </c>
    </row>
    <row r="922" spans="1:16" x14ac:dyDescent="0.3">
      <c r="A922" t="s">
        <v>1231</v>
      </c>
      <c r="B922" t="s">
        <v>108</v>
      </c>
      <c r="C922" s="51">
        <v>46299.916666666664</v>
      </c>
      <c r="D922" s="51">
        <v>46298.71875</v>
      </c>
      <c r="E922" t="s">
        <v>87</v>
      </c>
      <c r="F922" t="s">
        <v>77</v>
      </c>
      <c r="G922" t="s">
        <v>107</v>
      </c>
      <c r="H922" t="s">
        <v>109</v>
      </c>
      <c r="I922" t="s">
        <v>122</v>
      </c>
      <c r="J922" t="s">
        <v>55</v>
      </c>
      <c r="K922" t="s">
        <v>475</v>
      </c>
      <c r="L922" t="s">
        <v>473</v>
      </c>
      <c r="M922" t="s">
        <v>510</v>
      </c>
      <c r="O922" t="s">
        <v>503</v>
      </c>
      <c r="P922" t="s">
        <v>474</v>
      </c>
    </row>
    <row r="923" spans="1:16" x14ac:dyDescent="0.3">
      <c r="A923" t="s">
        <v>1232</v>
      </c>
      <c r="B923" t="s">
        <v>108</v>
      </c>
      <c r="C923" s="51">
        <v>46299.708333333336</v>
      </c>
      <c r="D923" s="51">
        <v>46298.70416666667</v>
      </c>
      <c r="E923" t="s">
        <v>87</v>
      </c>
      <c r="F923" t="s">
        <v>77</v>
      </c>
      <c r="G923" t="s">
        <v>107</v>
      </c>
      <c r="H923" t="s">
        <v>109</v>
      </c>
      <c r="I923" t="s">
        <v>122</v>
      </c>
      <c r="J923" t="s">
        <v>123</v>
      </c>
      <c r="K923" t="s">
        <v>475</v>
      </c>
      <c r="L923" t="s">
        <v>473</v>
      </c>
      <c r="M923">
        <v>0</v>
      </c>
      <c r="O923" t="s">
        <v>503</v>
      </c>
      <c r="P923" t="s">
        <v>474</v>
      </c>
    </row>
    <row r="924" spans="1:16" x14ac:dyDescent="0.3">
      <c r="A924" t="s">
        <v>1233</v>
      </c>
      <c r="B924" t="s">
        <v>47</v>
      </c>
      <c r="C924" s="51">
        <v>46301.938194444447</v>
      </c>
      <c r="D924" s="51">
        <v>46298.70416666667</v>
      </c>
      <c r="E924" t="s">
        <v>87</v>
      </c>
      <c r="F924" t="s">
        <v>48</v>
      </c>
      <c r="G924" t="s">
        <v>49</v>
      </c>
      <c r="H924" t="s">
        <v>50</v>
      </c>
      <c r="I924" t="s">
        <v>66</v>
      </c>
      <c r="J924" t="s">
        <v>51</v>
      </c>
      <c r="K924" t="s">
        <v>469</v>
      </c>
      <c r="L924" t="s">
        <v>470</v>
      </c>
      <c r="M924" t="s">
        <v>471</v>
      </c>
      <c r="N924">
        <v>15732004</v>
      </c>
      <c r="O924" t="s">
        <v>52</v>
      </c>
      <c r="P924" t="s">
        <v>472</v>
      </c>
    </row>
    <row r="925" spans="1:16" x14ac:dyDescent="0.3">
      <c r="A925" t="s">
        <v>1234</v>
      </c>
      <c r="B925" t="s">
        <v>124</v>
      </c>
      <c r="C925" s="51">
        <v>46299.708333333336</v>
      </c>
      <c r="D925" s="51">
        <v>46298.700694444444</v>
      </c>
      <c r="E925" t="s">
        <v>87</v>
      </c>
      <c r="F925" t="s">
        <v>77</v>
      </c>
      <c r="G925" t="s">
        <v>107</v>
      </c>
      <c r="H925" t="s">
        <v>125</v>
      </c>
      <c r="I925" t="s">
        <v>122</v>
      </c>
      <c r="J925" t="s">
        <v>126</v>
      </c>
      <c r="K925" t="s">
        <v>475</v>
      </c>
      <c r="L925" t="s">
        <v>473</v>
      </c>
      <c r="M925" t="s">
        <v>476</v>
      </c>
      <c r="O925" t="s">
        <v>503</v>
      </c>
      <c r="P925" t="s">
        <v>474</v>
      </c>
    </row>
    <row r="926" spans="1:16" x14ac:dyDescent="0.3">
      <c r="A926" t="s">
        <v>1235</v>
      </c>
      <c r="B926" t="s">
        <v>135</v>
      </c>
      <c r="C926" s="51">
        <v>46299.708333333336</v>
      </c>
      <c r="D926" s="51">
        <v>46298.686805555553</v>
      </c>
      <c r="E926" t="s">
        <v>87</v>
      </c>
      <c r="F926" t="s">
        <v>48</v>
      </c>
      <c r="G926" t="s">
        <v>133</v>
      </c>
      <c r="H926" t="s">
        <v>136</v>
      </c>
      <c r="I926" t="s">
        <v>177</v>
      </c>
      <c r="J926" t="s">
        <v>83</v>
      </c>
      <c r="K926" t="s">
        <v>469</v>
      </c>
      <c r="L926" t="s">
        <v>473</v>
      </c>
      <c r="M926">
        <v>0</v>
      </c>
      <c r="O926" t="s">
        <v>134</v>
      </c>
      <c r="P926" t="s">
        <v>474</v>
      </c>
    </row>
    <row r="927" spans="1:16" x14ac:dyDescent="0.3">
      <c r="A927" t="s">
        <v>1236</v>
      </c>
      <c r="B927" t="s">
        <v>124</v>
      </c>
      <c r="C927" s="51">
        <v>46299.708333333336</v>
      </c>
      <c r="D927" s="51">
        <v>46298.679861111108</v>
      </c>
      <c r="E927" t="s">
        <v>87</v>
      </c>
      <c r="F927" t="s">
        <v>77</v>
      </c>
      <c r="G927" t="s">
        <v>107</v>
      </c>
      <c r="H927" t="s">
        <v>125</v>
      </c>
      <c r="I927" t="s">
        <v>122</v>
      </c>
      <c r="J927" t="s">
        <v>126</v>
      </c>
      <c r="K927" t="s">
        <v>475</v>
      </c>
      <c r="L927" t="s">
        <v>473</v>
      </c>
      <c r="M927">
        <v>0</v>
      </c>
      <c r="O927" t="s">
        <v>503</v>
      </c>
      <c r="P927" t="s">
        <v>474</v>
      </c>
    </row>
    <row r="928" spans="1:16" x14ac:dyDescent="0.3">
      <c r="A928" t="s">
        <v>1237</v>
      </c>
      <c r="B928" t="s">
        <v>47</v>
      </c>
      <c r="C928" s="51">
        <v>46302.9375</v>
      </c>
      <c r="D928" s="51">
        <v>46298.677777777775</v>
      </c>
      <c r="E928" t="s">
        <v>87</v>
      </c>
      <c r="F928" t="s">
        <v>48</v>
      </c>
      <c r="G928" t="s">
        <v>49</v>
      </c>
      <c r="H928" t="s">
        <v>50</v>
      </c>
      <c r="I928" t="s">
        <v>66</v>
      </c>
      <c r="J928" t="s">
        <v>51</v>
      </c>
      <c r="K928" t="s">
        <v>469</v>
      </c>
      <c r="L928" t="s">
        <v>470</v>
      </c>
      <c r="M928" t="s">
        <v>471</v>
      </c>
      <c r="N928">
        <v>15732036</v>
      </c>
      <c r="O928" t="s">
        <v>52</v>
      </c>
      <c r="P928" t="s">
        <v>472</v>
      </c>
    </row>
    <row r="929" spans="1:16" x14ac:dyDescent="0.3">
      <c r="A929" t="s">
        <v>1238</v>
      </c>
      <c r="B929" t="s">
        <v>142</v>
      </c>
      <c r="C929" s="51">
        <v>46299.708333333336</v>
      </c>
      <c r="D929" s="51">
        <v>46298.675694444442</v>
      </c>
      <c r="E929" t="s">
        <v>87</v>
      </c>
      <c r="F929" t="s">
        <v>77</v>
      </c>
      <c r="G929" t="s">
        <v>89</v>
      </c>
      <c r="H929" t="s">
        <v>143</v>
      </c>
      <c r="I929" t="s">
        <v>69</v>
      </c>
      <c r="J929" t="s">
        <v>55</v>
      </c>
      <c r="K929" t="s">
        <v>469</v>
      </c>
      <c r="L929" t="s">
        <v>473</v>
      </c>
      <c r="M929" t="s">
        <v>476</v>
      </c>
      <c r="O929" t="s">
        <v>153</v>
      </c>
      <c r="P929" t="s">
        <v>474</v>
      </c>
    </row>
    <row r="930" spans="1:16" x14ac:dyDescent="0.3">
      <c r="A930" t="s">
        <v>1239</v>
      </c>
      <c r="B930" t="s">
        <v>108</v>
      </c>
      <c r="C930" s="51">
        <v>46299.666666666664</v>
      </c>
      <c r="D930" s="51">
        <v>46298.65</v>
      </c>
      <c r="E930" t="s">
        <v>87</v>
      </c>
      <c r="F930" t="s">
        <v>77</v>
      </c>
      <c r="G930" t="s">
        <v>107</v>
      </c>
      <c r="H930" t="s">
        <v>109</v>
      </c>
      <c r="I930" t="s">
        <v>122</v>
      </c>
      <c r="J930" t="s">
        <v>123</v>
      </c>
      <c r="K930" t="s">
        <v>475</v>
      </c>
      <c r="L930" t="s">
        <v>473</v>
      </c>
      <c r="M930" t="s">
        <v>495</v>
      </c>
      <c r="O930" t="s">
        <v>503</v>
      </c>
      <c r="P930" t="s">
        <v>474</v>
      </c>
    </row>
    <row r="931" spans="1:16" x14ac:dyDescent="0.3">
      <c r="A931" t="s">
        <v>1240</v>
      </c>
      <c r="B931" t="s">
        <v>67</v>
      </c>
      <c r="C931" s="51">
        <v>46301.938194444447</v>
      </c>
      <c r="D931" s="51">
        <v>46298.63958333333</v>
      </c>
      <c r="E931" t="s">
        <v>87</v>
      </c>
      <c r="F931" t="s">
        <v>48</v>
      </c>
      <c r="G931" t="s">
        <v>49</v>
      </c>
      <c r="H931" t="s">
        <v>68</v>
      </c>
      <c r="I931" t="s">
        <v>69</v>
      </c>
      <c r="J931" t="s">
        <v>70</v>
      </c>
      <c r="K931" t="s">
        <v>469</v>
      </c>
      <c r="L931" t="s">
        <v>470</v>
      </c>
      <c r="M931" t="s">
        <v>471</v>
      </c>
      <c r="N931">
        <v>15732026</v>
      </c>
      <c r="O931" t="s">
        <v>52</v>
      </c>
      <c r="P931" t="s">
        <v>472</v>
      </c>
    </row>
    <row r="932" spans="1:16" x14ac:dyDescent="0.3">
      <c r="A932" t="s">
        <v>1241</v>
      </c>
      <c r="B932" t="s">
        <v>108</v>
      </c>
      <c r="C932" s="51">
        <v>46299.666666666664</v>
      </c>
      <c r="D932" s="51">
        <v>46298.638194444444</v>
      </c>
      <c r="E932" t="s">
        <v>87</v>
      </c>
      <c r="F932" t="s">
        <v>77</v>
      </c>
      <c r="G932" t="s">
        <v>107</v>
      </c>
      <c r="H932" t="s">
        <v>109</v>
      </c>
      <c r="I932" t="s">
        <v>122</v>
      </c>
      <c r="J932" t="s">
        <v>123</v>
      </c>
      <c r="K932" t="s">
        <v>475</v>
      </c>
      <c r="L932" t="s">
        <v>473</v>
      </c>
      <c r="M932">
        <v>0</v>
      </c>
      <c r="O932" t="s">
        <v>503</v>
      </c>
      <c r="P932" t="s">
        <v>474</v>
      </c>
    </row>
    <row r="933" spans="1:16" x14ac:dyDescent="0.3">
      <c r="A933" t="s">
        <v>1242</v>
      </c>
      <c r="B933" t="s">
        <v>108</v>
      </c>
      <c r="C933" s="51">
        <v>46299.666666666664</v>
      </c>
      <c r="D933" s="51">
        <v>46298.633333333331</v>
      </c>
      <c r="E933" t="s">
        <v>87</v>
      </c>
      <c r="F933" t="s">
        <v>77</v>
      </c>
      <c r="G933" t="s">
        <v>107</v>
      </c>
      <c r="H933" t="s">
        <v>109</v>
      </c>
      <c r="I933" t="s">
        <v>122</v>
      </c>
      <c r="J933" t="s">
        <v>123</v>
      </c>
      <c r="K933" t="s">
        <v>475</v>
      </c>
      <c r="L933" t="s">
        <v>473</v>
      </c>
      <c r="M933">
        <v>0</v>
      </c>
      <c r="O933" t="s">
        <v>503</v>
      </c>
      <c r="P933" t="s">
        <v>474</v>
      </c>
    </row>
    <row r="934" spans="1:16" x14ac:dyDescent="0.3">
      <c r="A934" t="s">
        <v>1243</v>
      </c>
      <c r="B934" t="s">
        <v>108</v>
      </c>
      <c r="C934" s="51">
        <v>46299.666666666664</v>
      </c>
      <c r="D934" s="51">
        <v>46298.631944444445</v>
      </c>
      <c r="E934" t="s">
        <v>87</v>
      </c>
      <c r="F934" t="s">
        <v>77</v>
      </c>
      <c r="G934" t="s">
        <v>107</v>
      </c>
      <c r="H934" t="s">
        <v>109</v>
      </c>
      <c r="I934" t="s">
        <v>122</v>
      </c>
      <c r="J934" t="s">
        <v>123</v>
      </c>
      <c r="K934" t="s">
        <v>475</v>
      </c>
      <c r="L934" t="s">
        <v>473</v>
      </c>
      <c r="M934" t="s">
        <v>478</v>
      </c>
      <c r="O934" t="s">
        <v>503</v>
      </c>
      <c r="P934" t="s">
        <v>474</v>
      </c>
    </row>
    <row r="935" spans="1:16" x14ac:dyDescent="0.3">
      <c r="A935" t="s">
        <v>1244</v>
      </c>
      <c r="B935" t="s">
        <v>67</v>
      </c>
      <c r="C935" s="51">
        <v>46301.938194444447</v>
      </c>
      <c r="D935" s="51">
        <v>46298.627083333333</v>
      </c>
      <c r="E935" t="s">
        <v>87</v>
      </c>
      <c r="F935" t="s">
        <v>48</v>
      </c>
      <c r="G935" t="s">
        <v>49</v>
      </c>
      <c r="H935" t="s">
        <v>68</v>
      </c>
      <c r="I935" t="s">
        <v>69</v>
      </c>
      <c r="J935" t="s">
        <v>70</v>
      </c>
      <c r="K935" t="s">
        <v>469</v>
      </c>
      <c r="L935" t="s">
        <v>470</v>
      </c>
      <c r="M935" t="s">
        <v>471</v>
      </c>
      <c r="N935">
        <v>15731844</v>
      </c>
      <c r="O935" t="s">
        <v>52</v>
      </c>
      <c r="P935" t="s">
        <v>472</v>
      </c>
    </row>
    <row r="936" spans="1:16" x14ac:dyDescent="0.3">
      <c r="A936" t="s">
        <v>1245</v>
      </c>
      <c r="B936" t="s">
        <v>67</v>
      </c>
      <c r="C936" s="51">
        <v>46301.938194444447</v>
      </c>
      <c r="D936" s="51">
        <v>46298.621527777781</v>
      </c>
      <c r="E936" t="s">
        <v>87</v>
      </c>
      <c r="F936" t="s">
        <v>48</v>
      </c>
      <c r="G936" t="s">
        <v>49</v>
      </c>
      <c r="H936" t="s">
        <v>68</v>
      </c>
      <c r="I936" t="s">
        <v>69</v>
      </c>
      <c r="J936" t="s">
        <v>70</v>
      </c>
      <c r="K936" t="s">
        <v>469</v>
      </c>
      <c r="L936" t="s">
        <v>470</v>
      </c>
      <c r="M936" t="s">
        <v>471</v>
      </c>
      <c r="N936">
        <v>15731820</v>
      </c>
      <c r="O936" t="s">
        <v>52</v>
      </c>
      <c r="P936" t="s">
        <v>472</v>
      </c>
    </row>
    <row r="937" spans="1:16" x14ac:dyDescent="0.3">
      <c r="A937" t="s">
        <v>1246</v>
      </c>
      <c r="B937" t="s">
        <v>67</v>
      </c>
      <c r="C937" s="51">
        <v>46301.938194444447</v>
      </c>
      <c r="D937" s="51">
        <v>46298.621527777781</v>
      </c>
      <c r="E937" t="s">
        <v>87</v>
      </c>
      <c r="F937" t="s">
        <v>48</v>
      </c>
      <c r="G937" t="s">
        <v>49</v>
      </c>
      <c r="H937" t="s">
        <v>68</v>
      </c>
      <c r="I937" t="s">
        <v>69</v>
      </c>
      <c r="J937" t="s">
        <v>70</v>
      </c>
      <c r="K937" t="s">
        <v>469</v>
      </c>
      <c r="L937" t="s">
        <v>470</v>
      </c>
      <c r="M937" t="s">
        <v>471</v>
      </c>
      <c r="N937">
        <v>15731834</v>
      </c>
      <c r="O937" t="s">
        <v>52</v>
      </c>
      <c r="P937" t="s">
        <v>472</v>
      </c>
    </row>
    <row r="938" spans="1:16" x14ac:dyDescent="0.3">
      <c r="A938" t="s">
        <v>1247</v>
      </c>
      <c r="B938" t="s">
        <v>74</v>
      </c>
      <c r="C938" s="51">
        <v>46301.938194444447</v>
      </c>
      <c r="D938" s="51">
        <v>46298.616666666669</v>
      </c>
      <c r="E938" t="s">
        <v>87</v>
      </c>
      <c r="F938" t="s">
        <v>48</v>
      </c>
      <c r="G938" t="s">
        <v>49</v>
      </c>
      <c r="H938" t="s">
        <v>75</v>
      </c>
      <c r="I938" t="s">
        <v>86</v>
      </c>
      <c r="J938" t="s">
        <v>70</v>
      </c>
      <c r="K938" t="s">
        <v>469</v>
      </c>
      <c r="L938" t="s">
        <v>470</v>
      </c>
      <c r="M938" t="s">
        <v>471</v>
      </c>
      <c r="N938">
        <v>15731854</v>
      </c>
      <c r="O938" t="s">
        <v>52</v>
      </c>
      <c r="P938" t="s">
        <v>472</v>
      </c>
    </row>
    <row r="939" spans="1:16" x14ac:dyDescent="0.3">
      <c r="A939" t="s">
        <v>1248</v>
      </c>
      <c r="B939" t="s">
        <v>108</v>
      </c>
      <c r="C939" s="51">
        <v>46299.625</v>
      </c>
      <c r="D939" s="51">
        <v>46298.612500000003</v>
      </c>
      <c r="E939" t="s">
        <v>87</v>
      </c>
      <c r="F939" t="s">
        <v>77</v>
      </c>
      <c r="G939" t="s">
        <v>107</v>
      </c>
      <c r="H939" t="s">
        <v>109</v>
      </c>
      <c r="I939" t="s">
        <v>122</v>
      </c>
      <c r="J939" t="s">
        <v>123</v>
      </c>
      <c r="K939" t="s">
        <v>475</v>
      </c>
      <c r="L939" t="s">
        <v>473</v>
      </c>
      <c r="M939">
        <v>0</v>
      </c>
      <c r="O939" t="s">
        <v>503</v>
      </c>
      <c r="P939" t="s">
        <v>474</v>
      </c>
    </row>
    <row r="940" spans="1:16" x14ac:dyDescent="0.3">
      <c r="A940" t="s">
        <v>1249</v>
      </c>
      <c r="B940" t="s">
        <v>1250</v>
      </c>
      <c r="C940" s="51">
        <v>46299.625</v>
      </c>
      <c r="D940" s="51">
        <v>46298.611805555556</v>
      </c>
      <c r="E940" t="s">
        <v>87</v>
      </c>
      <c r="F940" t="s">
        <v>48</v>
      </c>
      <c r="G940" t="s">
        <v>519</v>
      </c>
      <c r="H940" t="s">
        <v>1251</v>
      </c>
      <c r="I940" t="s">
        <v>1252</v>
      </c>
      <c r="J940" t="s">
        <v>55</v>
      </c>
      <c r="K940" t="s">
        <v>469</v>
      </c>
      <c r="L940" t="s">
        <v>473</v>
      </c>
      <c r="M940">
        <v>0</v>
      </c>
      <c r="O940" t="s">
        <v>56</v>
      </c>
      <c r="P940" t="s">
        <v>474</v>
      </c>
    </row>
    <row r="941" spans="1:16" x14ac:dyDescent="0.3">
      <c r="A941" t="s">
        <v>1253</v>
      </c>
      <c r="B941" t="s">
        <v>108</v>
      </c>
      <c r="C941" s="51">
        <v>46299.625</v>
      </c>
      <c r="D941" s="51">
        <v>46298.609027777777</v>
      </c>
      <c r="E941" t="s">
        <v>87</v>
      </c>
      <c r="F941" t="s">
        <v>77</v>
      </c>
      <c r="G941" t="s">
        <v>107</v>
      </c>
      <c r="H941" t="s">
        <v>109</v>
      </c>
      <c r="I941" t="s">
        <v>122</v>
      </c>
      <c r="J941" t="s">
        <v>123</v>
      </c>
      <c r="K941" t="s">
        <v>475</v>
      </c>
      <c r="L941" t="s">
        <v>473</v>
      </c>
      <c r="M941">
        <v>0</v>
      </c>
      <c r="O941" t="s">
        <v>503</v>
      </c>
      <c r="P941" t="s">
        <v>474</v>
      </c>
    </row>
    <row r="942" spans="1:16" x14ac:dyDescent="0.3">
      <c r="A942" t="s">
        <v>1254</v>
      </c>
      <c r="B942" t="s">
        <v>124</v>
      </c>
      <c r="C942" s="51">
        <v>46299.625</v>
      </c>
      <c r="D942" s="51">
        <v>46298.60833333333</v>
      </c>
      <c r="E942" t="s">
        <v>87</v>
      </c>
      <c r="F942" t="s">
        <v>77</v>
      </c>
      <c r="G942" t="s">
        <v>107</v>
      </c>
      <c r="H942" t="s">
        <v>125</v>
      </c>
      <c r="I942" t="s">
        <v>122</v>
      </c>
      <c r="J942" t="s">
        <v>126</v>
      </c>
      <c r="K942" t="s">
        <v>475</v>
      </c>
      <c r="L942" t="s">
        <v>473</v>
      </c>
      <c r="M942" t="s">
        <v>480</v>
      </c>
      <c r="O942" t="s">
        <v>503</v>
      </c>
      <c r="P942" t="s">
        <v>474</v>
      </c>
    </row>
    <row r="943" spans="1:16" x14ac:dyDescent="0.3">
      <c r="A943" t="s">
        <v>1255</v>
      </c>
      <c r="B943" t="s">
        <v>67</v>
      </c>
      <c r="C943" s="51">
        <v>46301.938194444447</v>
      </c>
      <c r="D943" s="51">
        <v>46298.597222222219</v>
      </c>
      <c r="E943" t="s">
        <v>87</v>
      </c>
      <c r="F943" t="s">
        <v>48</v>
      </c>
      <c r="G943" t="s">
        <v>49</v>
      </c>
      <c r="H943" t="s">
        <v>68</v>
      </c>
      <c r="I943" t="s">
        <v>69</v>
      </c>
      <c r="J943" t="s">
        <v>70</v>
      </c>
      <c r="K943" t="s">
        <v>469</v>
      </c>
      <c r="L943" t="s">
        <v>470</v>
      </c>
      <c r="M943" t="s">
        <v>471</v>
      </c>
      <c r="N943">
        <v>15731794</v>
      </c>
      <c r="O943" t="s">
        <v>52</v>
      </c>
      <c r="P943" t="s">
        <v>472</v>
      </c>
    </row>
    <row r="944" spans="1:16" x14ac:dyDescent="0.3">
      <c r="A944" t="s">
        <v>1256</v>
      </c>
      <c r="B944" t="s">
        <v>108</v>
      </c>
      <c r="C944" s="51">
        <v>46299.625</v>
      </c>
      <c r="D944" s="51">
        <v>46298.595833333333</v>
      </c>
      <c r="E944" t="s">
        <v>87</v>
      </c>
      <c r="F944" t="s">
        <v>77</v>
      </c>
      <c r="G944" t="s">
        <v>107</v>
      </c>
      <c r="H944" t="s">
        <v>109</v>
      </c>
      <c r="I944" t="s">
        <v>122</v>
      </c>
      <c r="J944" t="s">
        <v>123</v>
      </c>
      <c r="K944" t="s">
        <v>475</v>
      </c>
      <c r="L944" t="s">
        <v>473</v>
      </c>
      <c r="M944" t="s">
        <v>508</v>
      </c>
      <c r="O944" t="s">
        <v>503</v>
      </c>
      <c r="P944" t="s">
        <v>474</v>
      </c>
    </row>
    <row r="945" spans="1:16" x14ac:dyDescent="0.3">
      <c r="A945" t="s">
        <v>1257</v>
      </c>
      <c r="B945" t="s">
        <v>124</v>
      </c>
      <c r="C945" s="51">
        <v>46299.625</v>
      </c>
      <c r="D945" s="51">
        <v>46298.593055555553</v>
      </c>
      <c r="E945" t="s">
        <v>87</v>
      </c>
      <c r="F945" t="s">
        <v>77</v>
      </c>
      <c r="G945" t="s">
        <v>107</v>
      </c>
      <c r="H945" t="s">
        <v>125</v>
      </c>
      <c r="I945" t="s">
        <v>122</v>
      </c>
      <c r="J945" t="s">
        <v>126</v>
      </c>
      <c r="K945" t="s">
        <v>475</v>
      </c>
      <c r="L945" t="s">
        <v>473</v>
      </c>
      <c r="M945">
        <v>0</v>
      </c>
      <c r="O945" t="s">
        <v>503</v>
      </c>
      <c r="P945" t="s">
        <v>474</v>
      </c>
    </row>
    <row r="946" spans="1:16" x14ac:dyDescent="0.3">
      <c r="A946" t="s">
        <v>1258</v>
      </c>
      <c r="B946" t="s">
        <v>71</v>
      </c>
      <c r="C946" s="51">
        <v>46301.938194444447</v>
      </c>
      <c r="D946" s="51">
        <v>46298.587500000001</v>
      </c>
      <c r="E946" t="s">
        <v>87</v>
      </c>
      <c r="F946" t="s">
        <v>48</v>
      </c>
      <c r="G946" t="s">
        <v>49</v>
      </c>
      <c r="H946" t="s">
        <v>72</v>
      </c>
      <c r="I946" t="s">
        <v>73</v>
      </c>
      <c r="J946" t="s">
        <v>70</v>
      </c>
      <c r="K946" t="s">
        <v>469</v>
      </c>
      <c r="L946" t="s">
        <v>470</v>
      </c>
      <c r="M946" t="s">
        <v>471</v>
      </c>
      <c r="N946">
        <v>15731632</v>
      </c>
      <c r="O946" t="s">
        <v>52</v>
      </c>
      <c r="P946" t="s">
        <v>472</v>
      </c>
    </row>
    <row r="947" spans="1:16" x14ac:dyDescent="0.3">
      <c r="A947" t="s">
        <v>1259</v>
      </c>
      <c r="B947" t="s">
        <v>74</v>
      </c>
      <c r="C947" s="51">
        <v>46301.938194444447</v>
      </c>
      <c r="D947" s="51">
        <v>46298.587500000001</v>
      </c>
      <c r="E947" t="s">
        <v>87</v>
      </c>
      <c r="F947" t="s">
        <v>48</v>
      </c>
      <c r="G947" t="s">
        <v>49</v>
      </c>
      <c r="H947" t="s">
        <v>75</v>
      </c>
      <c r="I947" t="s">
        <v>76</v>
      </c>
      <c r="J947" t="s">
        <v>70</v>
      </c>
      <c r="K947" t="s">
        <v>469</v>
      </c>
      <c r="L947" t="s">
        <v>470</v>
      </c>
      <c r="M947" t="s">
        <v>471</v>
      </c>
      <c r="N947">
        <v>15731514</v>
      </c>
      <c r="O947" t="s">
        <v>52</v>
      </c>
      <c r="P947" t="s">
        <v>472</v>
      </c>
    </row>
    <row r="948" spans="1:16" x14ac:dyDescent="0.3">
      <c r="A948" t="s">
        <v>1260</v>
      </c>
      <c r="B948" t="s">
        <v>57</v>
      </c>
      <c r="C948" s="51">
        <v>46299.583333333336</v>
      </c>
      <c r="D948" s="51">
        <v>46298.575694444444</v>
      </c>
      <c r="E948" t="s">
        <v>87</v>
      </c>
      <c r="F948" t="s">
        <v>58</v>
      </c>
      <c r="G948" t="s">
        <v>59</v>
      </c>
      <c r="H948" t="s">
        <v>60</v>
      </c>
      <c r="I948" t="s">
        <v>82</v>
      </c>
      <c r="J948" t="s">
        <v>88</v>
      </c>
      <c r="K948" t="s">
        <v>486</v>
      </c>
      <c r="L948" t="s">
        <v>473</v>
      </c>
      <c r="M948" t="s">
        <v>534</v>
      </c>
      <c r="O948" t="s">
        <v>503</v>
      </c>
      <c r="P948" t="s">
        <v>474</v>
      </c>
    </row>
    <row r="949" spans="1:16" x14ac:dyDescent="0.3">
      <c r="A949" t="s">
        <v>1261</v>
      </c>
      <c r="B949" t="s">
        <v>108</v>
      </c>
      <c r="C949" s="51">
        <v>46299.583333333336</v>
      </c>
      <c r="D949" s="51">
        <v>46298.568749999999</v>
      </c>
      <c r="E949" t="s">
        <v>87</v>
      </c>
      <c r="F949" t="s">
        <v>77</v>
      </c>
      <c r="G949" t="s">
        <v>107</v>
      </c>
      <c r="H949" t="s">
        <v>109</v>
      </c>
      <c r="I949" t="s">
        <v>122</v>
      </c>
      <c r="J949" t="s">
        <v>123</v>
      </c>
      <c r="K949" t="s">
        <v>475</v>
      </c>
      <c r="L949" t="s">
        <v>473</v>
      </c>
      <c r="M949">
        <v>0</v>
      </c>
      <c r="O949" t="s">
        <v>503</v>
      </c>
      <c r="P949" t="s">
        <v>474</v>
      </c>
    </row>
    <row r="950" spans="1:16" x14ac:dyDescent="0.3">
      <c r="A950" t="s">
        <v>1262</v>
      </c>
      <c r="B950" t="s">
        <v>108</v>
      </c>
      <c r="C950" s="51">
        <v>46299.583333333336</v>
      </c>
      <c r="D950" s="51">
        <v>46298.567361111112</v>
      </c>
      <c r="E950" t="s">
        <v>87</v>
      </c>
      <c r="F950" t="s">
        <v>77</v>
      </c>
      <c r="G950" t="s">
        <v>107</v>
      </c>
      <c r="H950" t="s">
        <v>109</v>
      </c>
      <c r="I950" t="s">
        <v>122</v>
      </c>
      <c r="J950" t="s">
        <v>123</v>
      </c>
      <c r="K950" t="s">
        <v>475</v>
      </c>
      <c r="L950" t="s">
        <v>473</v>
      </c>
      <c r="M950">
        <v>0</v>
      </c>
      <c r="O950" t="s">
        <v>503</v>
      </c>
      <c r="P950" t="s">
        <v>474</v>
      </c>
    </row>
    <row r="951" spans="1:16" x14ac:dyDescent="0.3">
      <c r="A951" t="s">
        <v>1263</v>
      </c>
      <c r="B951" t="s">
        <v>108</v>
      </c>
      <c r="C951" s="51">
        <v>46299.583333333336</v>
      </c>
      <c r="D951" s="51">
        <v>46298.557638888888</v>
      </c>
      <c r="E951" t="s">
        <v>87</v>
      </c>
      <c r="F951" t="s">
        <v>77</v>
      </c>
      <c r="G951" t="s">
        <v>107</v>
      </c>
      <c r="H951" t="s">
        <v>109</v>
      </c>
      <c r="I951" t="s">
        <v>122</v>
      </c>
      <c r="J951" t="s">
        <v>123</v>
      </c>
      <c r="K951" t="s">
        <v>475</v>
      </c>
      <c r="L951" t="s">
        <v>473</v>
      </c>
      <c r="M951">
        <v>0</v>
      </c>
      <c r="O951" t="s">
        <v>503</v>
      </c>
      <c r="P951" t="s">
        <v>474</v>
      </c>
    </row>
    <row r="952" spans="1:16" x14ac:dyDescent="0.3">
      <c r="A952" t="s">
        <v>1264</v>
      </c>
      <c r="B952" t="s">
        <v>108</v>
      </c>
      <c r="C952" s="51">
        <v>46299.583333333336</v>
      </c>
      <c r="D952" s="51">
        <v>46298.554861111108</v>
      </c>
      <c r="E952" t="s">
        <v>87</v>
      </c>
      <c r="F952" t="s">
        <v>77</v>
      </c>
      <c r="G952" t="s">
        <v>107</v>
      </c>
      <c r="H952" t="s">
        <v>109</v>
      </c>
      <c r="I952" t="s">
        <v>122</v>
      </c>
      <c r="J952" t="s">
        <v>123</v>
      </c>
      <c r="K952" t="s">
        <v>475</v>
      </c>
      <c r="L952" t="s">
        <v>473</v>
      </c>
      <c r="M952">
        <v>0</v>
      </c>
      <c r="O952" t="s">
        <v>503</v>
      </c>
      <c r="P952" t="s">
        <v>474</v>
      </c>
    </row>
    <row r="953" spans="1:16" x14ac:dyDescent="0.3">
      <c r="A953" t="s">
        <v>1265</v>
      </c>
      <c r="B953" t="s">
        <v>124</v>
      </c>
      <c r="C953" s="51">
        <v>46299.541666666664</v>
      </c>
      <c r="D953" s="51">
        <v>46298.538194444445</v>
      </c>
      <c r="E953" t="s">
        <v>87</v>
      </c>
      <c r="F953" t="s">
        <v>77</v>
      </c>
      <c r="G953" t="s">
        <v>107</v>
      </c>
      <c r="H953" t="s">
        <v>125</v>
      </c>
      <c r="I953" t="s">
        <v>122</v>
      </c>
      <c r="J953" t="s">
        <v>126</v>
      </c>
      <c r="K953" t="s">
        <v>475</v>
      </c>
      <c r="L953" t="s">
        <v>473</v>
      </c>
      <c r="M953" t="s">
        <v>507</v>
      </c>
      <c r="O953" t="s">
        <v>503</v>
      </c>
      <c r="P953" t="s">
        <v>474</v>
      </c>
    </row>
    <row r="954" spans="1:16" x14ac:dyDescent="0.3">
      <c r="A954" t="s">
        <v>1266</v>
      </c>
      <c r="B954" t="s">
        <v>108</v>
      </c>
      <c r="C954" s="51">
        <v>46299.541666666664</v>
      </c>
      <c r="D954" s="51">
        <v>46298.531944444447</v>
      </c>
      <c r="E954" t="s">
        <v>87</v>
      </c>
      <c r="F954" t="s">
        <v>77</v>
      </c>
      <c r="G954" t="s">
        <v>107</v>
      </c>
      <c r="H954" t="s">
        <v>109</v>
      </c>
      <c r="I954" t="s">
        <v>122</v>
      </c>
      <c r="J954" t="s">
        <v>123</v>
      </c>
      <c r="K954" t="s">
        <v>475</v>
      </c>
      <c r="L954" t="s">
        <v>473</v>
      </c>
      <c r="M954" t="s">
        <v>477</v>
      </c>
      <c r="O954" t="s">
        <v>503</v>
      </c>
      <c r="P954" t="s">
        <v>474</v>
      </c>
    </row>
    <row r="955" spans="1:16" x14ac:dyDescent="0.3">
      <c r="A955" t="s">
        <v>1267</v>
      </c>
      <c r="B955" t="s">
        <v>108</v>
      </c>
      <c r="C955" s="51">
        <v>46299.541666666664</v>
      </c>
      <c r="D955" s="51">
        <v>46298.525000000001</v>
      </c>
      <c r="E955" t="s">
        <v>87</v>
      </c>
      <c r="F955" t="s">
        <v>77</v>
      </c>
      <c r="G955" t="s">
        <v>107</v>
      </c>
      <c r="H955" t="s">
        <v>109</v>
      </c>
      <c r="I955" t="s">
        <v>122</v>
      </c>
      <c r="J955" t="s">
        <v>123</v>
      </c>
      <c r="K955" t="s">
        <v>475</v>
      </c>
      <c r="L955" t="s">
        <v>473</v>
      </c>
      <c r="M955" t="s">
        <v>512</v>
      </c>
      <c r="O955" t="s">
        <v>503</v>
      </c>
      <c r="P955" t="s">
        <v>474</v>
      </c>
    </row>
    <row r="956" spans="1:16" x14ac:dyDescent="0.3">
      <c r="A956" t="s">
        <v>1268</v>
      </c>
      <c r="B956" t="s">
        <v>108</v>
      </c>
      <c r="C956" s="51">
        <v>46299.541666666664</v>
      </c>
      <c r="D956" s="51">
        <v>46298.523611111108</v>
      </c>
      <c r="E956" t="s">
        <v>87</v>
      </c>
      <c r="F956" t="s">
        <v>77</v>
      </c>
      <c r="G956" t="s">
        <v>107</v>
      </c>
      <c r="H956" t="s">
        <v>109</v>
      </c>
      <c r="I956" t="s">
        <v>122</v>
      </c>
      <c r="J956" t="s">
        <v>123</v>
      </c>
      <c r="K956" t="s">
        <v>475</v>
      </c>
      <c r="L956" t="s">
        <v>473</v>
      </c>
      <c r="M956">
        <v>0</v>
      </c>
      <c r="O956" t="s">
        <v>503</v>
      </c>
      <c r="P956" t="s">
        <v>474</v>
      </c>
    </row>
    <row r="957" spans="1:16" x14ac:dyDescent="0.3">
      <c r="A957" t="s">
        <v>1269</v>
      </c>
      <c r="B957" t="s">
        <v>124</v>
      </c>
      <c r="C957" s="51">
        <v>46299.541666666664</v>
      </c>
      <c r="D957" s="51">
        <v>46298.521527777775</v>
      </c>
      <c r="E957" t="s">
        <v>87</v>
      </c>
      <c r="F957" t="s">
        <v>77</v>
      </c>
      <c r="G957" t="s">
        <v>107</v>
      </c>
      <c r="H957" t="s">
        <v>125</v>
      </c>
      <c r="I957" t="s">
        <v>122</v>
      </c>
      <c r="J957" t="s">
        <v>126</v>
      </c>
      <c r="K957" t="s">
        <v>475</v>
      </c>
      <c r="L957" t="s">
        <v>473</v>
      </c>
      <c r="M957" t="s">
        <v>1270</v>
      </c>
      <c r="O957" t="s">
        <v>503</v>
      </c>
      <c r="P957" t="s">
        <v>474</v>
      </c>
    </row>
    <row r="958" spans="1:16" x14ac:dyDescent="0.3">
      <c r="A958" t="s">
        <v>1271</v>
      </c>
      <c r="B958" t="s">
        <v>110</v>
      </c>
      <c r="C958" s="51">
        <v>46299.541666666664</v>
      </c>
      <c r="D958" s="51">
        <v>46298.519444444442</v>
      </c>
      <c r="E958" t="s">
        <v>87</v>
      </c>
      <c r="F958" t="s">
        <v>77</v>
      </c>
      <c r="G958" t="s">
        <v>107</v>
      </c>
      <c r="H958" t="s">
        <v>111</v>
      </c>
      <c r="I958" t="s">
        <v>127</v>
      </c>
      <c r="J958" t="s">
        <v>128</v>
      </c>
      <c r="K958" t="s">
        <v>475</v>
      </c>
      <c r="L958" t="s">
        <v>473</v>
      </c>
      <c r="M958" t="s">
        <v>489</v>
      </c>
      <c r="O958" t="s">
        <v>503</v>
      </c>
      <c r="P958" t="s">
        <v>474</v>
      </c>
    </row>
    <row r="959" spans="1:16" x14ac:dyDescent="0.3">
      <c r="A959" t="s">
        <v>1272</v>
      </c>
      <c r="B959" t="s">
        <v>110</v>
      </c>
      <c r="C959" s="51">
        <v>46299.541666666664</v>
      </c>
      <c r="D959" s="51">
        <v>46298.51666666667</v>
      </c>
      <c r="E959" t="s">
        <v>87</v>
      </c>
      <c r="F959" t="s">
        <v>77</v>
      </c>
      <c r="G959" t="s">
        <v>107</v>
      </c>
      <c r="H959" t="s">
        <v>111</v>
      </c>
      <c r="I959" t="s">
        <v>127</v>
      </c>
      <c r="J959" t="s">
        <v>128</v>
      </c>
      <c r="K959" t="s">
        <v>475</v>
      </c>
      <c r="L959" t="s">
        <v>473</v>
      </c>
      <c r="M959" t="s">
        <v>480</v>
      </c>
      <c r="O959" t="s">
        <v>503</v>
      </c>
      <c r="P959" t="s">
        <v>474</v>
      </c>
    </row>
    <row r="960" spans="1:16" x14ac:dyDescent="0.3">
      <c r="A960" t="s">
        <v>1273</v>
      </c>
      <c r="B960" t="s">
        <v>67</v>
      </c>
      <c r="C960" s="51">
        <v>46301.938194444447</v>
      </c>
      <c r="D960" s="51">
        <v>46298.515277777777</v>
      </c>
      <c r="E960" t="s">
        <v>87</v>
      </c>
      <c r="F960" t="s">
        <v>48</v>
      </c>
      <c r="G960" t="s">
        <v>49</v>
      </c>
      <c r="H960" t="s">
        <v>68</v>
      </c>
      <c r="I960" t="s">
        <v>69</v>
      </c>
      <c r="J960" t="s">
        <v>70</v>
      </c>
      <c r="K960" t="s">
        <v>469</v>
      </c>
      <c r="L960" t="s">
        <v>470</v>
      </c>
      <c r="M960" t="s">
        <v>471</v>
      </c>
      <c r="N960">
        <v>15731228</v>
      </c>
      <c r="O960" t="s">
        <v>52</v>
      </c>
      <c r="P960" t="s">
        <v>472</v>
      </c>
    </row>
    <row r="961" spans="1:16" x14ac:dyDescent="0.3">
      <c r="A961" t="s">
        <v>1274</v>
      </c>
      <c r="B961" t="s">
        <v>47</v>
      </c>
      <c r="C961" s="51">
        <v>46301.938194444447</v>
      </c>
      <c r="D961" s="51">
        <v>46298.515277777777</v>
      </c>
      <c r="E961" t="s">
        <v>87</v>
      </c>
      <c r="F961" t="s">
        <v>48</v>
      </c>
      <c r="G961" t="s">
        <v>49</v>
      </c>
      <c r="H961" t="s">
        <v>50</v>
      </c>
      <c r="I961" t="s">
        <v>149</v>
      </c>
      <c r="J961" t="s">
        <v>51</v>
      </c>
      <c r="K961" t="s">
        <v>469</v>
      </c>
      <c r="L961" t="s">
        <v>470</v>
      </c>
      <c r="M961" t="s">
        <v>471</v>
      </c>
      <c r="N961">
        <v>15731260</v>
      </c>
      <c r="O961" t="s">
        <v>52</v>
      </c>
      <c r="P961" t="s">
        <v>472</v>
      </c>
    </row>
    <row r="962" spans="1:16" x14ac:dyDescent="0.3">
      <c r="A962" t="s">
        <v>1275</v>
      </c>
      <c r="B962" t="s">
        <v>71</v>
      </c>
      <c r="C962" s="51">
        <v>46301.938194444447</v>
      </c>
      <c r="D962" s="51">
        <v>46298.515277777777</v>
      </c>
      <c r="E962" t="s">
        <v>87</v>
      </c>
      <c r="F962" t="s">
        <v>48</v>
      </c>
      <c r="G962" t="s">
        <v>49</v>
      </c>
      <c r="H962" t="s">
        <v>72</v>
      </c>
      <c r="I962" t="s">
        <v>73</v>
      </c>
      <c r="J962" t="s">
        <v>70</v>
      </c>
      <c r="K962" t="s">
        <v>469</v>
      </c>
      <c r="L962" t="s">
        <v>470</v>
      </c>
      <c r="M962" t="s">
        <v>471</v>
      </c>
      <c r="N962">
        <v>15731280</v>
      </c>
      <c r="O962" t="s">
        <v>52</v>
      </c>
      <c r="P962" t="s">
        <v>472</v>
      </c>
    </row>
    <row r="963" spans="1:16" x14ac:dyDescent="0.3">
      <c r="A963" t="s">
        <v>1276</v>
      </c>
      <c r="B963" t="s">
        <v>79</v>
      </c>
      <c r="C963" s="51">
        <v>46299.916666666664</v>
      </c>
      <c r="D963" s="51">
        <v>46298.51458333333</v>
      </c>
      <c r="E963" t="s">
        <v>87</v>
      </c>
      <c r="F963" t="s">
        <v>77</v>
      </c>
      <c r="G963" t="s">
        <v>78</v>
      </c>
      <c r="H963" t="s">
        <v>80</v>
      </c>
      <c r="I963" t="s">
        <v>81</v>
      </c>
      <c r="J963" t="s">
        <v>55</v>
      </c>
      <c r="K963" t="s">
        <v>482</v>
      </c>
      <c r="L963" t="s">
        <v>473</v>
      </c>
      <c r="M963">
        <v>0</v>
      </c>
      <c r="O963" t="s">
        <v>503</v>
      </c>
      <c r="P963" t="s">
        <v>474</v>
      </c>
    </row>
    <row r="964" spans="1:16" x14ac:dyDescent="0.3">
      <c r="A964" t="s">
        <v>1277</v>
      </c>
      <c r="B964" t="s">
        <v>124</v>
      </c>
      <c r="C964" s="51">
        <v>46299.541666666664</v>
      </c>
      <c r="D964" s="51">
        <v>46298.510416666664</v>
      </c>
      <c r="E964" t="s">
        <v>87</v>
      </c>
      <c r="F964" t="s">
        <v>77</v>
      </c>
      <c r="G964" t="s">
        <v>107</v>
      </c>
      <c r="H964" t="s">
        <v>125</v>
      </c>
      <c r="I964" t="s">
        <v>122</v>
      </c>
      <c r="J964" t="s">
        <v>126</v>
      </c>
      <c r="K964" t="s">
        <v>475</v>
      </c>
      <c r="L964" t="s">
        <v>473</v>
      </c>
      <c r="M964" t="s">
        <v>478</v>
      </c>
      <c r="O964" t="s">
        <v>503</v>
      </c>
      <c r="P964" t="s">
        <v>474</v>
      </c>
    </row>
    <row r="965" spans="1:16" x14ac:dyDescent="0.3">
      <c r="A965" t="s">
        <v>1278</v>
      </c>
      <c r="B965" t="s">
        <v>124</v>
      </c>
      <c r="C965" s="51">
        <v>46299.541666666664</v>
      </c>
      <c r="D965" s="51">
        <v>46298.510416666664</v>
      </c>
      <c r="E965" t="s">
        <v>87</v>
      </c>
      <c r="F965" t="s">
        <v>77</v>
      </c>
      <c r="G965" t="s">
        <v>107</v>
      </c>
      <c r="H965" t="s">
        <v>125</v>
      </c>
      <c r="I965" t="s">
        <v>122</v>
      </c>
      <c r="J965" t="s">
        <v>126</v>
      </c>
      <c r="K965" t="s">
        <v>475</v>
      </c>
      <c r="L965" t="s">
        <v>473</v>
      </c>
      <c r="M965" t="s">
        <v>480</v>
      </c>
      <c r="O965" t="s">
        <v>503</v>
      </c>
      <c r="P965" t="s">
        <v>474</v>
      </c>
    </row>
    <row r="966" spans="1:16" x14ac:dyDescent="0.3">
      <c r="A966" t="s">
        <v>1279</v>
      </c>
      <c r="B966" t="s">
        <v>108</v>
      </c>
      <c r="C966" s="51">
        <v>46299.541666666664</v>
      </c>
      <c r="D966" s="51">
        <v>46298.509722222225</v>
      </c>
      <c r="E966" t="s">
        <v>87</v>
      </c>
      <c r="F966" t="s">
        <v>77</v>
      </c>
      <c r="G966" t="s">
        <v>107</v>
      </c>
      <c r="H966" t="s">
        <v>109</v>
      </c>
      <c r="I966" t="s">
        <v>122</v>
      </c>
      <c r="J966" t="s">
        <v>123</v>
      </c>
      <c r="K966" t="s">
        <v>475</v>
      </c>
      <c r="L966" t="s">
        <v>473</v>
      </c>
      <c r="O966" t="s">
        <v>503</v>
      </c>
      <c r="P966" t="s">
        <v>474</v>
      </c>
    </row>
    <row r="967" spans="1:16" x14ac:dyDescent="0.3">
      <c r="A967" t="s">
        <v>1280</v>
      </c>
      <c r="B967" t="s">
        <v>124</v>
      </c>
      <c r="C967" s="51">
        <v>46299.5</v>
      </c>
      <c r="D967" s="51">
        <v>46298.488194444442</v>
      </c>
      <c r="E967" t="s">
        <v>87</v>
      </c>
      <c r="F967" t="s">
        <v>77</v>
      </c>
      <c r="G967" t="s">
        <v>107</v>
      </c>
      <c r="H967" t="s">
        <v>125</v>
      </c>
      <c r="I967" t="s">
        <v>122</v>
      </c>
      <c r="J967" t="s">
        <v>126</v>
      </c>
      <c r="K967" t="s">
        <v>475</v>
      </c>
      <c r="L967" t="s">
        <v>473</v>
      </c>
      <c r="M967" t="s">
        <v>478</v>
      </c>
      <c r="O967" t="s">
        <v>503</v>
      </c>
      <c r="P967" t="s">
        <v>474</v>
      </c>
    </row>
    <row r="968" spans="1:16" x14ac:dyDescent="0.3">
      <c r="A968" t="s">
        <v>1281</v>
      </c>
      <c r="B968" t="s">
        <v>108</v>
      </c>
      <c r="C968" s="51">
        <v>46299.5</v>
      </c>
      <c r="D968" s="51">
        <v>46298.482638888891</v>
      </c>
      <c r="E968" t="s">
        <v>87</v>
      </c>
      <c r="F968" t="s">
        <v>77</v>
      </c>
      <c r="G968" t="s">
        <v>107</v>
      </c>
      <c r="H968" t="s">
        <v>109</v>
      </c>
      <c r="I968" t="s">
        <v>122</v>
      </c>
      <c r="J968" t="s">
        <v>123</v>
      </c>
      <c r="K968" t="s">
        <v>475</v>
      </c>
      <c r="L968" t="s">
        <v>473</v>
      </c>
      <c r="M968">
        <v>0</v>
      </c>
      <c r="O968" t="s">
        <v>503</v>
      </c>
      <c r="P968" t="s">
        <v>474</v>
      </c>
    </row>
    <row r="969" spans="1:16" x14ac:dyDescent="0.3">
      <c r="A969" t="s">
        <v>1282</v>
      </c>
      <c r="B969" t="s">
        <v>110</v>
      </c>
      <c r="C969" s="51">
        <v>46299.5</v>
      </c>
      <c r="D969" s="51">
        <v>46298.480555555558</v>
      </c>
      <c r="E969" t="s">
        <v>87</v>
      </c>
      <c r="F969" t="s">
        <v>77</v>
      </c>
      <c r="G969" t="s">
        <v>107</v>
      </c>
      <c r="H969" t="s">
        <v>111</v>
      </c>
      <c r="I969" t="s">
        <v>127</v>
      </c>
      <c r="J969" t="s">
        <v>128</v>
      </c>
      <c r="K969" t="s">
        <v>475</v>
      </c>
      <c r="L969" t="s">
        <v>473</v>
      </c>
      <c r="M969" t="s">
        <v>1283</v>
      </c>
      <c r="O969" t="s">
        <v>503</v>
      </c>
      <c r="P969" t="s">
        <v>474</v>
      </c>
    </row>
    <row r="970" spans="1:16" x14ac:dyDescent="0.3">
      <c r="A970" t="s">
        <v>1284</v>
      </c>
      <c r="B970" t="s">
        <v>520</v>
      </c>
      <c r="C970" s="51">
        <v>46299.5</v>
      </c>
      <c r="D970" s="51">
        <v>46298.463194444441</v>
      </c>
      <c r="E970" t="s">
        <v>87</v>
      </c>
      <c r="F970" t="s">
        <v>77</v>
      </c>
      <c r="G970" t="s">
        <v>78</v>
      </c>
      <c r="H970" t="s">
        <v>521</v>
      </c>
      <c r="I970" t="s">
        <v>91</v>
      </c>
      <c r="J970" t="s">
        <v>522</v>
      </c>
      <c r="K970" t="s">
        <v>486</v>
      </c>
      <c r="L970" t="s">
        <v>473</v>
      </c>
      <c r="M970">
        <v>1</v>
      </c>
      <c r="O970" t="s">
        <v>503</v>
      </c>
      <c r="P970" t="s">
        <v>474</v>
      </c>
    </row>
    <row r="971" spans="1:16" x14ac:dyDescent="0.3">
      <c r="A971" t="s">
        <v>1285</v>
      </c>
      <c r="B971" t="s">
        <v>79</v>
      </c>
      <c r="C971" s="51">
        <v>46299.541666666664</v>
      </c>
      <c r="D971" s="51">
        <v>46298.462500000001</v>
      </c>
      <c r="E971" t="s">
        <v>87</v>
      </c>
      <c r="F971" t="s">
        <v>77</v>
      </c>
      <c r="G971" t="s">
        <v>78</v>
      </c>
      <c r="H971" t="s">
        <v>80</v>
      </c>
      <c r="I971" t="s">
        <v>81</v>
      </c>
      <c r="J971" t="s">
        <v>167</v>
      </c>
      <c r="K971" t="s">
        <v>484</v>
      </c>
      <c r="L971" t="s">
        <v>473</v>
      </c>
      <c r="M971">
        <v>0</v>
      </c>
      <c r="O971" t="s">
        <v>503</v>
      </c>
      <c r="P971" t="s">
        <v>474</v>
      </c>
    </row>
    <row r="972" spans="1:16" x14ac:dyDescent="0.3">
      <c r="A972" t="s">
        <v>1286</v>
      </c>
      <c r="B972" t="s">
        <v>108</v>
      </c>
      <c r="C972" s="51">
        <v>46299.458333333336</v>
      </c>
      <c r="D972" s="51">
        <v>46298.452777777777</v>
      </c>
      <c r="E972" t="s">
        <v>87</v>
      </c>
      <c r="F972" t="s">
        <v>77</v>
      </c>
      <c r="G972" t="s">
        <v>107</v>
      </c>
      <c r="H972" t="s">
        <v>109</v>
      </c>
      <c r="I972" t="s">
        <v>122</v>
      </c>
      <c r="J972" t="s">
        <v>123</v>
      </c>
      <c r="K972" t="s">
        <v>475</v>
      </c>
      <c r="L972" t="s">
        <v>473</v>
      </c>
      <c r="M972">
        <v>0</v>
      </c>
      <c r="O972" t="s">
        <v>503</v>
      </c>
      <c r="P972" t="s">
        <v>474</v>
      </c>
    </row>
    <row r="973" spans="1:16" x14ac:dyDescent="0.3">
      <c r="A973" t="s">
        <v>1287</v>
      </c>
      <c r="B973" t="s">
        <v>513</v>
      </c>
      <c r="C973" s="51">
        <v>46299.458333333336</v>
      </c>
      <c r="D973" s="51">
        <v>46298.429166666669</v>
      </c>
      <c r="E973" t="s">
        <v>87</v>
      </c>
      <c r="F973" t="s">
        <v>77</v>
      </c>
      <c r="G973" t="s">
        <v>154</v>
      </c>
      <c r="H973" t="s">
        <v>514</v>
      </c>
      <c r="I973" t="s">
        <v>82</v>
      </c>
      <c r="J973" t="s">
        <v>55</v>
      </c>
      <c r="K973" t="s">
        <v>469</v>
      </c>
      <c r="L973" t="s">
        <v>473</v>
      </c>
      <c r="M973">
        <v>0</v>
      </c>
      <c r="O973" t="s">
        <v>503</v>
      </c>
      <c r="P973" t="s">
        <v>474</v>
      </c>
    </row>
    <row r="974" spans="1:16" x14ac:dyDescent="0.3">
      <c r="A974" t="s">
        <v>1288</v>
      </c>
      <c r="B974" t="s">
        <v>108</v>
      </c>
      <c r="C974" s="51">
        <v>46299.458333333336</v>
      </c>
      <c r="D974" s="51">
        <v>46298.427083333336</v>
      </c>
      <c r="E974" t="s">
        <v>87</v>
      </c>
      <c r="F974" t="s">
        <v>77</v>
      </c>
      <c r="G974" t="s">
        <v>107</v>
      </c>
      <c r="H974" t="s">
        <v>109</v>
      </c>
      <c r="I974" t="s">
        <v>122</v>
      </c>
      <c r="J974" t="s">
        <v>123</v>
      </c>
      <c r="K974" t="s">
        <v>475</v>
      </c>
      <c r="L974" t="s">
        <v>473</v>
      </c>
      <c r="M974" t="s">
        <v>480</v>
      </c>
      <c r="O974" t="s">
        <v>503</v>
      </c>
      <c r="P974" t="s">
        <v>474</v>
      </c>
    </row>
    <row r="975" spans="1:16" x14ac:dyDescent="0.3">
      <c r="A975" t="s">
        <v>1289</v>
      </c>
      <c r="B975" t="s">
        <v>513</v>
      </c>
      <c r="C975" s="51">
        <v>46299.458333333336</v>
      </c>
      <c r="D975" s="51">
        <v>46298.425000000003</v>
      </c>
      <c r="E975" t="s">
        <v>87</v>
      </c>
      <c r="F975" t="s">
        <v>77</v>
      </c>
      <c r="G975" t="s">
        <v>154</v>
      </c>
      <c r="H975" t="s">
        <v>514</v>
      </c>
      <c r="I975" t="s">
        <v>82</v>
      </c>
      <c r="J975" t="s">
        <v>83</v>
      </c>
      <c r="K975" t="s">
        <v>469</v>
      </c>
      <c r="L975" t="s">
        <v>473</v>
      </c>
      <c r="M975">
        <v>0</v>
      </c>
      <c r="O975" t="s">
        <v>503</v>
      </c>
      <c r="P975" t="s">
        <v>474</v>
      </c>
    </row>
    <row r="976" spans="1:16" x14ac:dyDescent="0.3">
      <c r="A976" t="s">
        <v>1290</v>
      </c>
      <c r="B976" t="s">
        <v>108</v>
      </c>
      <c r="C976" s="51">
        <v>46299.458333333336</v>
      </c>
      <c r="D976" s="51">
        <v>46298.421527777777</v>
      </c>
      <c r="E976" t="s">
        <v>87</v>
      </c>
      <c r="F976" t="s">
        <v>77</v>
      </c>
      <c r="G976" t="s">
        <v>107</v>
      </c>
      <c r="H976" t="s">
        <v>109</v>
      </c>
      <c r="I976" t="s">
        <v>122</v>
      </c>
      <c r="J976" t="s">
        <v>123</v>
      </c>
      <c r="K976" t="s">
        <v>475</v>
      </c>
      <c r="L976" t="s">
        <v>473</v>
      </c>
      <c r="M976">
        <v>0</v>
      </c>
      <c r="O976" t="s">
        <v>503</v>
      </c>
      <c r="P976" t="s">
        <v>474</v>
      </c>
    </row>
    <row r="977" spans="1:16" x14ac:dyDescent="0.3">
      <c r="A977" t="s">
        <v>1291</v>
      </c>
      <c r="B977" t="s">
        <v>108</v>
      </c>
      <c r="C977" s="51">
        <v>46299.416666666664</v>
      </c>
      <c r="D977" s="51">
        <v>46298.402083333334</v>
      </c>
      <c r="E977" t="s">
        <v>87</v>
      </c>
      <c r="F977" t="s">
        <v>77</v>
      </c>
      <c r="G977" t="s">
        <v>107</v>
      </c>
      <c r="H977" t="s">
        <v>109</v>
      </c>
      <c r="I977" t="s">
        <v>122</v>
      </c>
      <c r="J977" t="s">
        <v>123</v>
      </c>
      <c r="K977" t="s">
        <v>475</v>
      </c>
      <c r="L977" t="s">
        <v>473</v>
      </c>
      <c r="M977" t="s">
        <v>492</v>
      </c>
      <c r="O977" t="s">
        <v>503</v>
      </c>
      <c r="P977" t="s">
        <v>474</v>
      </c>
    </row>
    <row r="978" spans="1:16" x14ac:dyDescent="0.3">
      <c r="A978" t="s">
        <v>1292</v>
      </c>
      <c r="B978" t="s">
        <v>57</v>
      </c>
      <c r="C978" s="51">
        <v>46299.416666666664</v>
      </c>
      <c r="D978" s="51">
        <v>46298.381944444445</v>
      </c>
      <c r="E978" t="s">
        <v>87</v>
      </c>
      <c r="F978" t="s">
        <v>58</v>
      </c>
      <c r="G978" t="s">
        <v>59</v>
      </c>
      <c r="H978" t="s">
        <v>60</v>
      </c>
      <c r="I978" t="s">
        <v>61</v>
      </c>
      <c r="J978" t="s">
        <v>88</v>
      </c>
      <c r="K978" t="s">
        <v>486</v>
      </c>
      <c r="L978" t="s">
        <v>473</v>
      </c>
      <c r="M978">
        <v>0</v>
      </c>
      <c r="O978" t="s">
        <v>503</v>
      </c>
      <c r="P978" t="s">
        <v>474</v>
      </c>
    </row>
    <row r="979" spans="1:16" x14ac:dyDescent="0.3">
      <c r="A979" t="s">
        <v>1293</v>
      </c>
      <c r="B979" t="s">
        <v>47</v>
      </c>
      <c r="C979" s="51">
        <v>46301.938194444447</v>
      </c>
      <c r="D979" s="51">
        <v>46298.361111111109</v>
      </c>
      <c r="E979" t="s">
        <v>87</v>
      </c>
      <c r="F979" t="s">
        <v>48</v>
      </c>
      <c r="G979" t="s">
        <v>49</v>
      </c>
      <c r="H979" t="s">
        <v>50</v>
      </c>
      <c r="I979" t="s">
        <v>66</v>
      </c>
      <c r="J979" t="s">
        <v>51</v>
      </c>
      <c r="K979" t="s">
        <v>469</v>
      </c>
      <c r="L979" t="s">
        <v>470</v>
      </c>
      <c r="M979" t="s">
        <v>471</v>
      </c>
      <c r="N979">
        <v>15730624</v>
      </c>
      <c r="O979" t="s">
        <v>52</v>
      </c>
      <c r="P979" t="s">
        <v>472</v>
      </c>
    </row>
    <row r="980" spans="1:16" x14ac:dyDescent="0.3">
      <c r="A980" t="s">
        <v>1294</v>
      </c>
      <c r="B980" t="s">
        <v>67</v>
      </c>
      <c r="C980" s="51">
        <v>46301.938194444447</v>
      </c>
      <c r="D980" s="51">
        <v>46298.359722222223</v>
      </c>
      <c r="E980" t="s">
        <v>87</v>
      </c>
      <c r="F980" t="s">
        <v>48</v>
      </c>
      <c r="G980" t="s">
        <v>49</v>
      </c>
      <c r="H980" t="s">
        <v>68</v>
      </c>
      <c r="I980" t="s">
        <v>69</v>
      </c>
      <c r="J980" t="s">
        <v>70</v>
      </c>
      <c r="K980" t="s">
        <v>469</v>
      </c>
      <c r="L980" t="s">
        <v>470</v>
      </c>
      <c r="M980" t="s">
        <v>471</v>
      </c>
      <c r="N980">
        <v>15731138</v>
      </c>
      <c r="O980" t="s">
        <v>52</v>
      </c>
      <c r="P980" t="s">
        <v>472</v>
      </c>
    </row>
    <row r="981" spans="1:16" x14ac:dyDescent="0.3">
      <c r="A981" t="s">
        <v>1295</v>
      </c>
      <c r="B981" t="s">
        <v>124</v>
      </c>
      <c r="C981" s="51">
        <v>46299.333333333336</v>
      </c>
      <c r="D981" s="51">
        <v>46298.315972222219</v>
      </c>
      <c r="E981" t="s">
        <v>87</v>
      </c>
      <c r="F981" t="s">
        <v>77</v>
      </c>
      <c r="G981" t="s">
        <v>107</v>
      </c>
      <c r="H981" t="s">
        <v>125</v>
      </c>
      <c r="I981" t="s">
        <v>122</v>
      </c>
      <c r="J981" t="s">
        <v>126</v>
      </c>
      <c r="K981" t="s">
        <v>475</v>
      </c>
      <c r="L981" t="s">
        <v>473</v>
      </c>
      <c r="M981">
        <v>1</v>
      </c>
      <c r="O981" t="s">
        <v>503</v>
      </c>
      <c r="P981" t="s">
        <v>474</v>
      </c>
    </row>
    <row r="982" spans="1:16" x14ac:dyDescent="0.3">
      <c r="A982" t="s">
        <v>1296</v>
      </c>
      <c r="B982" t="s">
        <v>47</v>
      </c>
      <c r="C982" s="51">
        <v>46301.938194444447</v>
      </c>
      <c r="D982" s="51">
        <v>46297.931944444441</v>
      </c>
      <c r="E982" t="s">
        <v>87</v>
      </c>
      <c r="F982" t="s">
        <v>48</v>
      </c>
      <c r="G982" t="s">
        <v>49</v>
      </c>
      <c r="H982" t="s">
        <v>50</v>
      </c>
      <c r="I982" t="s">
        <v>66</v>
      </c>
      <c r="J982" t="s">
        <v>51</v>
      </c>
      <c r="K982" t="s">
        <v>469</v>
      </c>
      <c r="L982" t="s">
        <v>470</v>
      </c>
      <c r="M982" t="s">
        <v>471</v>
      </c>
      <c r="N982">
        <v>15730610</v>
      </c>
      <c r="O982" t="s">
        <v>52</v>
      </c>
      <c r="P982" t="s">
        <v>472</v>
      </c>
    </row>
    <row r="983" spans="1:16" x14ac:dyDescent="0.3">
      <c r="A983" t="s">
        <v>1297</v>
      </c>
      <c r="B983" t="s">
        <v>108</v>
      </c>
      <c r="C983" s="51">
        <v>46298.958333333336</v>
      </c>
      <c r="D983" s="51">
        <v>46297.931944444441</v>
      </c>
      <c r="E983" t="s">
        <v>87</v>
      </c>
      <c r="F983" t="s">
        <v>77</v>
      </c>
      <c r="G983" t="s">
        <v>107</v>
      </c>
      <c r="H983" t="s">
        <v>109</v>
      </c>
      <c r="I983" t="s">
        <v>122</v>
      </c>
      <c r="J983" t="s">
        <v>123</v>
      </c>
      <c r="K983" t="s">
        <v>475</v>
      </c>
      <c r="L983" t="s">
        <v>473</v>
      </c>
      <c r="O983" t="s">
        <v>503</v>
      </c>
      <c r="P983" t="s">
        <v>474</v>
      </c>
    </row>
    <row r="984" spans="1:16" x14ac:dyDescent="0.3">
      <c r="A984" t="s">
        <v>1298</v>
      </c>
      <c r="B984" t="s">
        <v>108</v>
      </c>
      <c r="C984" s="51">
        <v>46298.958333333336</v>
      </c>
      <c r="D984" s="51">
        <v>46297.930555555555</v>
      </c>
      <c r="E984" t="s">
        <v>87</v>
      </c>
      <c r="F984" t="s">
        <v>77</v>
      </c>
      <c r="G984" t="s">
        <v>107</v>
      </c>
      <c r="H984" t="s">
        <v>109</v>
      </c>
      <c r="I984" t="s">
        <v>122</v>
      </c>
      <c r="J984" t="s">
        <v>123</v>
      </c>
      <c r="K984" t="s">
        <v>475</v>
      </c>
      <c r="L984" t="s">
        <v>473</v>
      </c>
      <c r="O984" t="s">
        <v>503</v>
      </c>
      <c r="P984" t="s">
        <v>474</v>
      </c>
    </row>
    <row r="985" spans="1:16" x14ac:dyDescent="0.3">
      <c r="A985" t="s">
        <v>1299</v>
      </c>
      <c r="B985" t="s">
        <v>67</v>
      </c>
      <c r="C985" s="51">
        <v>46303.9375</v>
      </c>
      <c r="D985" s="51">
        <v>46297.899305555555</v>
      </c>
      <c r="E985" t="s">
        <v>87</v>
      </c>
      <c r="F985" t="s">
        <v>48</v>
      </c>
      <c r="G985" t="s">
        <v>49</v>
      </c>
      <c r="H985" t="s">
        <v>68</v>
      </c>
      <c r="I985" t="s">
        <v>69</v>
      </c>
      <c r="J985" t="s">
        <v>70</v>
      </c>
      <c r="K985" t="s">
        <v>469</v>
      </c>
      <c r="L985" t="s">
        <v>470</v>
      </c>
      <c r="M985" t="s">
        <v>471</v>
      </c>
      <c r="N985">
        <v>15730220</v>
      </c>
      <c r="O985" t="s">
        <v>52</v>
      </c>
      <c r="P985" t="s">
        <v>472</v>
      </c>
    </row>
    <row r="986" spans="1:16" x14ac:dyDescent="0.3">
      <c r="A986" t="s">
        <v>1300</v>
      </c>
      <c r="B986" t="s">
        <v>155</v>
      </c>
      <c r="C986" s="51">
        <v>46301.938194444447</v>
      </c>
      <c r="D986" s="51">
        <v>46297.899305555555</v>
      </c>
      <c r="E986" t="s">
        <v>87</v>
      </c>
      <c r="F986" t="s">
        <v>53</v>
      </c>
      <c r="G986" t="s">
        <v>85</v>
      </c>
      <c r="H986" t="s">
        <v>156</v>
      </c>
      <c r="I986" t="s">
        <v>157</v>
      </c>
      <c r="J986" t="s">
        <v>70</v>
      </c>
      <c r="K986" t="s">
        <v>469</v>
      </c>
      <c r="L986" t="s">
        <v>470</v>
      </c>
      <c r="M986" t="s">
        <v>471</v>
      </c>
      <c r="N986">
        <v>15730212</v>
      </c>
      <c r="O986" t="s">
        <v>52</v>
      </c>
      <c r="P986" t="s">
        <v>472</v>
      </c>
    </row>
    <row r="987" spans="1:16" x14ac:dyDescent="0.3">
      <c r="A987" t="s">
        <v>1301</v>
      </c>
      <c r="B987" t="s">
        <v>67</v>
      </c>
      <c r="C987" s="51">
        <v>46301.938194444447</v>
      </c>
      <c r="D987" s="51">
        <v>46297.899305555555</v>
      </c>
      <c r="E987" t="s">
        <v>87</v>
      </c>
      <c r="F987" t="s">
        <v>48</v>
      </c>
      <c r="G987" t="s">
        <v>49</v>
      </c>
      <c r="H987" t="s">
        <v>68</v>
      </c>
      <c r="I987" t="s">
        <v>69</v>
      </c>
      <c r="J987" t="s">
        <v>70</v>
      </c>
      <c r="K987" t="s">
        <v>469</v>
      </c>
      <c r="L987" t="s">
        <v>470</v>
      </c>
      <c r="M987" t="s">
        <v>471</v>
      </c>
      <c r="N987">
        <v>15730216</v>
      </c>
      <c r="O987" t="s">
        <v>52</v>
      </c>
      <c r="P987" t="s">
        <v>472</v>
      </c>
    </row>
    <row r="988" spans="1:16" x14ac:dyDescent="0.3">
      <c r="A988" t="s">
        <v>1302</v>
      </c>
      <c r="B988" t="s">
        <v>532</v>
      </c>
      <c r="C988" s="51">
        <v>46298.958333333336</v>
      </c>
      <c r="D988" s="51">
        <v>46297.88958333333</v>
      </c>
      <c r="E988" t="s">
        <v>87</v>
      </c>
      <c r="F988" t="s">
        <v>48</v>
      </c>
      <c r="G988" t="s">
        <v>533</v>
      </c>
      <c r="H988" t="s">
        <v>121</v>
      </c>
      <c r="I988" t="s">
        <v>82</v>
      </c>
      <c r="J988" t="s">
        <v>83</v>
      </c>
      <c r="K988" t="s">
        <v>469</v>
      </c>
      <c r="L988" t="s">
        <v>473</v>
      </c>
      <c r="M988" t="s">
        <v>491</v>
      </c>
      <c r="O988" t="s">
        <v>503</v>
      </c>
      <c r="P988" t="s">
        <v>474</v>
      </c>
    </row>
    <row r="989" spans="1:16" x14ac:dyDescent="0.3">
      <c r="A989" t="s">
        <v>1303</v>
      </c>
      <c r="B989" t="s">
        <v>67</v>
      </c>
      <c r="C989" s="51">
        <v>46301.938194444447</v>
      </c>
      <c r="D989" s="51">
        <v>46297.85</v>
      </c>
      <c r="E989" t="s">
        <v>87</v>
      </c>
      <c r="F989" t="s">
        <v>48</v>
      </c>
      <c r="G989" t="s">
        <v>49</v>
      </c>
      <c r="H989" t="s">
        <v>68</v>
      </c>
      <c r="I989" t="s">
        <v>69</v>
      </c>
      <c r="J989" t="s">
        <v>70</v>
      </c>
      <c r="K989" t="s">
        <v>469</v>
      </c>
      <c r="L989" t="s">
        <v>470</v>
      </c>
      <c r="M989" t="s">
        <v>471</v>
      </c>
      <c r="N989">
        <v>15730202</v>
      </c>
      <c r="O989" t="s">
        <v>52</v>
      </c>
      <c r="P989" t="s">
        <v>472</v>
      </c>
    </row>
    <row r="990" spans="1:16" x14ac:dyDescent="0.3">
      <c r="A990" t="s">
        <v>1304</v>
      </c>
      <c r="B990" t="s">
        <v>504</v>
      </c>
      <c r="C990" s="51">
        <v>46298.958333333336</v>
      </c>
      <c r="D990" s="51">
        <v>46297.841666666667</v>
      </c>
      <c r="E990" t="s">
        <v>87</v>
      </c>
      <c r="F990" t="s">
        <v>77</v>
      </c>
      <c r="G990" t="s">
        <v>78</v>
      </c>
      <c r="H990" t="s">
        <v>505</v>
      </c>
      <c r="I990" t="s">
        <v>506</v>
      </c>
      <c r="J990" t="s">
        <v>55</v>
      </c>
      <c r="K990" t="s">
        <v>482</v>
      </c>
      <c r="L990" t="s">
        <v>473</v>
      </c>
      <c r="M990" t="s">
        <v>477</v>
      </c>
      <c r="O990" t="s">
        <v>503</v>
      </c>
      <c r="P990" t="s">
        <v>474</v>
      </c>
    </row>
    <row r="991" spans="1:16" x14ac:dyDescent="0.3">
      <c r="A991" t="s">
        <v>1305</v>
      </c>
      <c r="B991" t="s">
        <v>108</v>
      </c>
      <c r="C991" s="51">
        <v>46298.833333333336</v>
      </c>
      <c r="D991" s="51">
        <v>46297.806944444441</v>
      </c>
      <c r="E991" t="s">
        <v>87</v>
      </c>
      <c r="F991" t="s">
        <v>77</v>
      </c>
      <c r="G991" t="s">
        <v>107</v>
      </c>
      <c r="H991" t="s">
        <v>109</v>
      </c>
      <c r="I991" t="s">
        <v>122</v>
      </c>
      <c r="J991" t="s">
        <v>123</v>
      </c>
      <c r="K991" t="s">
        <v>475</v>
      </c>
      <c r="L991" t="s">
        <v>473</v>
      </c>
      <c r="M991" t="s">
        <v>478</v>
      </c>
      <c r="O991" t="s">
        <v>503</v>
      </c>
      <c r="P991" t="s">
        <v>474</v>
      </c>
    </row>
    <row r="992" spans="1:16" x14ac:dyDescent="0.3">
      <c r="A992" t="s">
        <v>1306</v>
      </c>
      <c r="B992" t="s">
        <v>79</v>
      </c>
      <c r="C992" s="51">
        <v>46298.833333333336</v>
      </c>
      <c r="D992" s="51">
        <v>46297.804861111108</v>
      </c>
      <c r="E992" t="s">
        <v>87</v>
      </c>
      <c r="F992" t="s">
        <v>77</v>
      </c>
      <c r="G992" t="s">
        <v>78</v>
      </c>
      <c r="H992" t="s">
        <v>80</v>
      </c>
      <c r="I992" t="s">
        <v>81</v>
      </c>
      <c r="J992" t="s">
        <v>93</v>
      </c>
      <c r="K992" t="s">
        <v>482</v>
      </c>
      <c r="L992" t="s">
        <v>473</v>
      </c>
      <c r="M992" t="s">
        <v>478</v>
      </c>
      <c r="O992" t="s">
        <v>503</v>
      </c>
      <c r="P992" t="s">
        <v>474</v>
      </c>
    </row>
    <row r="993" spans="1:16" x14ac:dyDescent="0.3">
      <c r="A993" t="s">
        <v>1307</v>
      </c>
      <c r="B993" t="s">
        <v>47</v>
      </c>
      <c r="C993" s="51">
        <v>46301.938194444447</v>
      </c>
      <c r="D993" s="51">
        <v>46297.790277777778</v>
      </c>
      <c r="E993" t="s">
        <v>87</v>
      </c>
      <c r="F993" t="s">
        <v>48</v>
      </c>
      <c r="G993" t="s">
        <v>49</v>
      </c>
      <c r="H993" t="s">
        <v>50</v>
      </c>
      <c r="I993" t="s">
        <v>145</v>
      </c>
      <c r="J993" t="s">
        <v>51</v>
      </c>
      <c r="K993" t="s">
        <v>469</v>
      </c>
      <c r="L993" t="s">
        <v>470</v>
      </c>
      <c r="M993">
        <v>0</v>
      </c>
      <c r="N993">
        <v>15716208</v>
      </c>
      <c r="O993" t="s">
        <v>52</v>
      </c>
      <c r="P993" t="s">
        <v>474</v>
      </c>
    </row>
    <row r="994" spans="1:16" x14ac:dyDescent="0.3">
      <c r="A994" t="s">
        <v>1308</v>
      </c>
      <c r="B994" t="s">
        <v>57</v>
      </c>
      <c r="C994" s="51">
        <v>46298.833333333336</v>
      </c>
      <c r="D994" s="51">
        <v>46297.788194444445</v>
      </c>
      <c r="E994" t="s">
        <v>87</v>
      </c>
      <c r="F994" t="s">
        <v>58</v>
      </c>
      <c r="G994" t="s">
        <v>59</v>
      </c>
      <c r="H994" t="s">
        <v>60</v>
      </c>
      <c r="I994" t="s">
        <v>61</v>
      </c>
      <c r="J994" t="s">
        <v>88</v>
      </c>
      <c r="K994" t="s">
        <v>486</v>
      </c>
      <c r="L994" t="s">
        <v>470</v>
      </c>
      <c r="M994">
        <v>0</v>
      </c>
      <c r="O994" t="s">
        <v>52</v>
      </c>
      <c r="P994" t="s">
        <v>474</v>
      </c>
    </row>
    <row r="995" spans="1:16" x14ac:dyDescent="0.3">
      <c r="A995" t="s">
        <v>1309</v>
      </c>
      <c r="B995" t="s">
        <v>515</v>
      </c>
      <c r="C995" s="51">
        <v>46298.791666666664</v>
      </c>
      <c r="D995" s="51">
        <v>46297.776388888888</v>
      </c>
      <c r="E995" t="s">
        <v>87</v>
      </c>
      <c r="F995" t="s">
        <v>77</v>
      </c>
      <c r="G995" t="s">
        <v>89</v>
      </c>
      <c r="H995" t="s">
        <v>516</v>
      </c>
      <c r="I995" t="s">
        <v>517</v>
      </c>
      <c r="J995" t="s">
        <v>55</v>
      </c>
      <c r="K995" t="s">
        <v>90</v>
      </c>
      <c r="L995" t="s">
        <v>473</v>
      </c>
      <c r="M995" t="s">
        <v>1310</v>
      </c>
      <c r="O995" t="s">
        <v>129</v>
      </c>
      <c r="P995" t="s">
        <v>474</v>
      </c>
    </row>
    <row r="996" spans="1:16" x14ac:dyDescent="0.3">
      <c r="A996" t="s">
        <v>1311</v>
      </c>
      <c r="B996" t="s">
        <v>174</v>
      </c>
      <c r="C996" s="51">
        <v>46298.833333333336</v>
      </c>
      <c r="D996" s="51">
        <v>46297.770833333336</v>
      </c>
      <c r="E996" t="s">
        <v>87</v>
      </c>
      <c r="F996" t="s">
        <v>53</v>
      </c>
      <c r="G996" t="s">
        <v>54</v>
      </c>
      <c r="H996" t="s">
        <v>175</v>
      </c>
      <c r="I996" t="s">
        <v>175</v>
      </c>
      <c r="J996" t="s">
        <v>176</v>
      </c>
      <c r="K996" t="s">
        <v>481</v>
      </c>
      <c r="L996" t="s">
        <v>473</v>
      </c>
      <c r="M996" t="s">
        <v>478</v>
      </c>
      <c r="O996" t="s">
        <v>129</v>
      </c>
      <c r="P996" t="s">
        <v>474</v>
      </c>
    </row>
    <row r="997" spans="1:16" x14ac:dyDescent="0.3">
      <c r="A997" t="s">
        <v>1312</v>
      </c>
      <c r="B997" t="s">
        <v>124</v>
      </c>
      <c r="C997" s="51">
        <v>46298.791666666664</v>
      </c>
      <c r="D997" s="51">
        <v>46297.76666666667</v>
      </c>
      <c r="E997" t="s">
        <v>87</v>
      </c>
      <c r="F997" t="s">
        <v>77</v>
      </c>
      <c r="G997" t="s">
        <v>107</v>
      </c>
      <c r="H997" t="s">
        <v>125</v>
      </c>
      <c r="I997" t="s">
        <v>122</v>
      </c>
      <c r="J997" t="s">
        <v>126</v>
      </c>
      <c r="K997" t="s">
        <v>90</v>
      </c>
      <c r="L997" t="s">
        <v>473</v>
      </c>
      <c r="M997">
        <v>0</v>
      </c>
      <c r="O997" t="s">
        <v>503</v>
      </c>
      <c r="P997" t="s">
        <v>474</v>
      </c>
    </row>
    <row r="998" spans="1:16" x14ac:dyDescent="0.3">
      <c r="A998" t="s">
        <v>1313</v>
      </c>
      <c r="B998" t="s">
        <v>108</v>
      </c>
      <c r="C998" s="51">
        <v>46298.833333333336</v>
      </c>
      <c r="D998" s="51">
        <v>46297.748611111114</v>
      </c>
      <c r="E998" t="s">
        <v>87</v>
      </c>
      <c r="F998" t="s">
        <v>77</v>
      </c>
      <c r="G998" t="s">
        <v>107</v>
      </c>
      <c r="H998" t="s">
        <v>109</v>
      </c>
      <c r="I998" t="s">
        <v>122</v>
      </c>
      <c r="J998" t="s">
        <v>123</v>
      </c>
      <c r="K998" t="s">
        <v>475</v>
      </c>
      <c r="L998" t="s">
        <v>473</v>
      </c>
      <c r="M998" t="s">
        <v>478</v>
      </c>
      <c r="O998" t="s">
        <v>503</v>
      </c>
      <c r="P998" t="s">
        <v>474</v>
      </c>
    </row>
    <row r="999" spans="1:16" x14ac:dyDescent="0.3">
      <c r="A999" t="s">
        <v>1314</v>
      </c>
      <c r="B999" t="s">
        <v>47</v>
      </c>
      <c r="C999" s="51">
        <v>46298.833333333336</v>
      </c>
      <c r="D999" s="51">
        <v>46297.711805555555</v>
      </c>
      <c r="E999" t="s">
        <v>87</v>
      </c>
      <c r="F999" t="s">
        <v>48</v>
      </c>
      <c r="G999" t="s">
        <v>49</v>
      </c>
      <c r="H999" t="s">
        <v>50</v>
      </c>
      <c r="I999" t="s">
        <v>66</v>
      </c>
      <c r="J999" t="s">
        <v>172</v>
      </c>
      <c r="K999" t="s">
        <v>469</v>
      </c>
      <c r="L999" t="s">
        <v>470</v>
      </c>
      <c r="M999" t="s">
        <v>509</v>
      </c>
      <c r="O999" t="s">
        <v>52</v>
      </c>
      <c r="P999" t="s">
        <v>474</v>
      </c>
    </row>
    <row r="1000" spans="1:16" x14ac:dyDescent="0.3">
      <c r="A1000" t="s">
        <v>1315</v>
      </c>
      <c r="B1000" t="s">
        <v>74</v>
      </c>
      <c r="C1000" s="51">
        <v>46301.938194444447</v>
      </c>
      <c r="D1000" s="51">
        <v>46297.702777777777</v>
      </c>
      <c r="E1000" t="s">
        <v>87</v>
      </c>
      <c r="F1000" t="s">
        <v>48</v>
      </c>
      <c r="G1000" t="s">
        <v>49</v>
      </c>
      <c r="H1000" t="s">
        <v>75</v>
      </c>
      <c r="I1000" t="s">
        <v>86</v>
      </c>
      <c r="J1000" t="s">
        <v>70</v>
      </c>
      <c r="K1000" t="s">
        <v>469</v>
      </c>
      <c r="L1000" t="s">
        <v>470</v>
      </c>
      <c r="M1000" t="s">
        <v>471</v>
      </c>
      <c r="N1000">
        <v>15715246</v>
      </c>
      <c r="O1000" t="s">
        <v>52</v>
      </c>
      <c r="P1000" t="s">
        <v>472</v>
      </c>
    </row>
    <row r="1001" spans="1:16" x14ac:dyDescent="0.3">
      <c r="A1001" t="s">
        <v>1316</v>
      </c>
      <c r="B1001" t="s">
        <v>74</v>
      </c>
      <c r="C1001" s="51">
        <v>46300.938194444447</v>
      </c>
      <c r="D1001" s="51">
        <v>46297.6875</v>
      </c>
      <c r="E1001" t="s">
        <v>87</v>
      </c>
      <c r="F1001" t="s">
        <v>48</v>
      </c>
      <c r="G1001" t="s">
        <v>49</v>
      </c>
      <c r="H1001" t="s">
        <v>75</v>
      </c>
      <c r="I1001" t="s">
        <v>86</v>
      </c>
      <c r="J1001" t="s">
        <v>70</v>
      </c>
      <c r="K1001" t="s">
        <v>469</v>
      </c>
      <c r="L1001" t="s">
        <v>470</v>
      </c>
      <c r="M1001" t="s">
        <v>471</v>
      </c>
      <c r="N1001">
        <v>15715478</v>
      </c>
      <c r="O1001" t="s">
        <v>52</v>
      </c>
      <c r="P1001" t="s">
        <v>472</v>
      </c>
    </row>
    <row r="1002" spans="1:16" x14ac:dyDescent="0.3">
      <c r="A1002" t="s">
        <v>1317</v>
      </c>
      <c r="B1002" t="s">
        <v>526</v>
      </c>
      <c r="C1002" s="51">
        <v>46298.708333333336</v>
      </c>
      <c r="D1002" s="51">
        <v>46297.674305555556</v>
      </c>
      <c r="E1002" t="s">
        <v>87</v>
      </c>
      <c r="F1002" t="s">
        <v>77</v>
      </c>
      <c r="G1002" t="s">
        <v>146</v>
      </c>
      <c r="H1002" t="s">
        <v>527</v>
      </c>
      <c r="I1002" t="s">
        <v>90</v>
      </c>
      <c r="J1002" t="s">
        <v>55</v>
      </c>
      <c r="K1002" t="s">
        <v>484</v>
      </c>
      <c r="L1002" t="s">
        <v>473</v>
      </c>
      <c r="M1002">
        <v>0</v>
      </c>
      <c r="O1002" t="s">
        <v>503</v>
      </c>
      <c r="P1002" t="s">
        <v>474</v>
      </c>
    </row>
    <row r="1003" spans="1:16" x14ac:dyDescent="0.3">
      <c r="A1003" t="s">
        <v>1318</v>
      </c>
      <c r="B1003" t="s">
        <v>67</v>
      </c>
      <c r="C1003" s="51">
        <v>46300.938194444447</v>
      </c>
      <c r="D1003" s="51">
        <v>46297.67083333333</v>
      </c>
      <c r="E1003" t="s">
        <v>87</v>
      </c>
      <c r="F1003" t="s">
        <v>48</v>
      </c>
      <c r="G1003" t="s">
        <v>49</v>
      </c>
      <c r="H1003" t="s">
        <v>68</v>
      </c>
      <c r="I1003" t="s">
        <v>69</v>
      </c>
      <c r="J1003" t="s">
        <v>70</v>
      </c>
      <c r="K1003" t="s">
        <v>469</v>
      </c>
      <c r="L1003" t="s">
        <v>470</v>
      </c>
      <c r="M1003" t="s">
        <v>471</v>
      </c>
      <c r="N1003">
        <v>15715762</v>
      </c>
      <c r="O1003" t="s">
        <v>52</v>
      </c>
      <c r="P1003" t="s">
        <v>472</v>
      </c>
    </row>
    <row r="1004" spans="1:16" x14ac:dyDescent="0.3">
      <c r="A1004" t="s">
        <v>1319</v>
      </c>
      <c r="B1004" t="s">
        <v>67</v>
      </c>
      <c r="C1004" s="51">
        <v>46300.938194444447</v>
      </c>
      <c r="D1004" s="51">
        <v>46297.67083333333</v>
      </c>
      <c r="E1004" t="s">
        <v>87</v>
      </c>
      <c r="F1004" t="s">
        <v>48</v>
      </c>
      <c r="G1004" t="s">
        <v>49</v>
      </c>
      <c r="H1004" t="s">
        <v>68</v>
      </c>
      <c r="I1004" t="s">
        <v>69</v>
      </c>
      <c r="J1004" t="s">
        <v>70</v>
      </c>
      <c r="K1004" t="s">
        <v>469</v>
      </c>
      <c r="L1004" t="s">
        <v>470</v>
      </c>
      <c r="M1004" t="s">
        <v>471</v>
      </c>
      <c r="N1004">
        <v>15715764</v>
      </c>
      <c r="O1004" t="s">
        <v>52</v>
      </c>
      <c r="P1004" t="s">
        <v>472</v>
      </c>
    </row>
    <row r="1005" spans="1:16" x14ac:dyDescent="0.3">
      <c r="A1005" t="s">
        <v>1320</v>
      </c>
      <c r="B1005" t="s">
        <v>67</v>
      </c>
      <c r="C1005" s="51">
        <v>46301.938194444447</v>
      </c>
      <c r="D1005" s="51">
        <v>46297.670138888891</v>
      </c>
      <c r="E1005" t="s">
        <v>87</v>
      </c>
      <c r="F1005" t="s">
        <v>48</v>
      </c>
      <c r="G1005" t="s">
        <v>49</v>
      </c>
      <c r="H1005" t="s">
        <v>68</v>
      </c>
      <c r="I1005" t="s">
        <v>69</v>
      </c>
      <c r="J1005" t="s">
        <v>70</v>
      </c>
      <c r="K1005" t="s">
        <v>469</v>
      </c>
      <c r="L1005" t="s">
        <v>470</v>
      </c>
      <c r="M1005" t="s">
        <v>471</v>
      </c>
      <c r="N1005">
        <v>15715766</v>
      </c>
      <c r="O1005" t="s">
        <v>52</v>
      </c>
      <c r="P1005" t="s">
        <v>472</v>
      </c>
    </row>
    <row r="1006" spans="1:16" x14ac:dyDescent="0.3">
      <c r="A1006" t="s">
        <v>1321</v>
      </c>
      <c r="B1006" t="s">
        <v>74</v>
      </c>
      <c r="C1006" s="51">
        <v>46301.938194444447</v>
      </c>
      <c r="D1006" s="51">
        <v>46297.640972222223</v>
      </c>
      <c r="E1006" t="s">
        <v>87</v>
      </c>
      <c r="F1006" t="s">
        <v>48</v>
      </c>
      <c r="G1006" t="s">
        <v>49</v>
      </c>
      <c r="H1006" t="s">
        <v>75</v>
      </c>
      <c r="I1006" t="s">
        <v>86</v>
      </c>
      <c r="J1006" t="s">
        <v>70</v>
      </c>
      <c r="K1006" t="s">
        <v>469</v>
      </c>
      <c r="L1006" t="s">
        <v>470</v>
      </c>
      <c r="M1006" t="s">
        <v>471</v>
      </c>
      <c r="N1006">
        <v>15715770</v>
      </c>
      <c r="O1006" t="s">
        <v>52</v>
      </c>
      <c r="P1006" t="s">
        <v>472</v>
      </c>
    </row>
    <row r="1007" spans="1:16" x14ac:dyDescent="0.3">
      <c r="A1007" t="s">
        <v>1322</v>
      </c>
      <c r="B1007" t="s">
        <v>108</v>
      </c>
      <c r="C1007" s="51">
        <v>46298.666666666664</v>
      </c>
      <c r="D1007" s="51">
        <v>46297.63958333333</v>
      </c>
      <c r="E1007" t="s">
        <v>87</v>
      </c>
      <c r="F1007" t="s">
        <v>77</v>
      </c>
      <c r="G1007" t="s">
        <v>107</v>
      </c>
      <c r="H1007" t="s">
        <v>109</v>
      </c>
      <c r="I1007" t="s">
        <v>122</v>
      </c>
      <c r="J1007" t="s">
        <v>123</v>
      </c>
      <c r="K1007" t="s">
        <v>475</v>
      </c>
      <c r="L1007" t="s">
        <v>473</v>
      </c>
      <c r="M1007" t="s">
        <v>1323</v>
      </c>
      <c r="O1007" t="s">
        <v>56</v>
      </c>
      <c r="P1007" t="s">
        <v>474</v>
      </c>
    </row>
    <row r="1008" spans="1:16" x14ac:dyDescent="0.3">
      <c r="A1008" t="s">
        <v>1324</v>
      </c>
      <c r="B1008" t="s">
        <v>124</v>
      </c>
      <c r="C1008" s="51">
        <v>46298.625</v>
      </c>
      <c r="D1008" s="51">
        <v>46297.586805555555</v>
      </c>
      <c r="E1008" t="s">
        <v>87</v>
      </c>
      <c r="F1008" t="s">
        <v>77</v>
      </c>
      <c r="G1008" t="s">
        <v>107</v>
      </c>
      <c r="H1008" t="s">
        <v>125</v>
      </c>
      <c r="I1008" t="s">
        <v>122</v>
      </c>
      <c r="J1008" t="s">
        <v>126</v>
      </c>
      <c r="K1008" t="s">
        <v>475</v>
      </c>
      <c r="L1008" t="s">
        <v>473</v>
      </c>
      <c r="M1008" t="s">
        <v>476</v>
      </c>
      <c r="O1008" t="s">
        <v>503</v>
      </c>
      <c r="P1008" t="s">
        <v>474</v>
      </c>
    </row>
    <row r="1009" spans="1:16" x14ac:dyDescent="0.3">
      <c r="A1009" t="s">
        <v>1325</v>
      </c>
      <c r="B1009" t="s">
        <v>67</v>
      </c>
      <c r="C1009" s="51">
        <v>46303.333333333336</v>
      </c>
      <c r="D1009" s="51">
        <v>46297.574999999997</v>
      </c>
      <c r="E1009" t="s">
        <v>87</v>
      </c>
      <c r="F1009" t="s">
        <v>48</v>
      </c>
      <c r="G1009" t="s">
        <v>49</v>
      </c>
      <c r="H1009" t="s">
        <v>68</v>
      </c>
      <c r="I1009" t="s">
        <v>69</v>
      </c>
      <c r="J1009" t="s">
        <v>70</v>
      </c>
      <c r="K1009" t="s">
        <v>469</v>
      </c>
      <c r="L1009" t="s">
        <v>470</v>
      </c>
      <c r="M1009" t="s">
        <v>476</v>
      </c>
      <c r="O1009" t="s">
        <v>52</v>
      </c>
      <c r="P1009" t="s">
        <v>474</v>
      </c>
    </row>
    <row r="1010" spans="1:16" x14ac:dyDescent="0.3">
      <c r="A1010" t="s">
        <v>1326</v>
      </c>
      <c r="B1010" t="s">
        <v>155</v>
      </c>
      <c r="C1010" s="51">
        <v>46298.625</v>
      </c>
      <c r="D1010" s="51">
        <v>46297.572222222225</v>
      </c>
      <c r="E1010" t="s">
        <v>87</v>
      </c>
      <c r="F1010" t="s">
        <v>53</v>
      </c>
      <c r="G1010" t="s">
        <v>85</v>
      </c>
      <c r="H1010" t="s">
        <v>156</v>
      </c>
      <c r="I1010" t="s">
        <v>157</v>
      </c>
      <c r="J1010" t="s">
        <v>70</v>
      </c>
      <c r="K1010" t="s">
        <v>469</v>
      </c>
      <c r="L1010" t="s">
        <v>470</v>
      </c>
      <c r="M1010" t="s">
        <v>485</v>
      </c>
      <c r="O1010" t="s">
        <v>52</v>
      </c>
      <c r="P1010" t="s">
        <v>472</v>
      </c>
    </row>
    <row r="1011" spans="1:16" x14ac:dyDescent="0.3">
      <c r="A1011" t="s">
        <v>1327</v>
      </c>
      <c r="B1011" t="s">
        <v>67</v>
      </c>
      <c r="C1011" s="51">
        <v>46300.938194444447</v>
      </c>
      <c r="D1011" s="51">
        <v>46297.534722222219</v>
      </c>
      <c r="E1011" t="s">
        <v>87</v>
      </c>
      <c r="F1011" t="s">
        <v>48</v>
      </c>
      <c r="G1011" t="s">
        <v>49</v>
      </c>
      <c r="H1011" t="s">
        <v>68</v>
      </c>
      <c r="I1011" t="s">
        <v>69</v>
      </c>
      <c r="J1011" t="s">
        <v>70</v>
      </c>
      <c r="K1011" t="s">
        <v>469</v>
      </c>
      <c r="L1011" t="s">
        <v>470</v>
      </c>
      <c r="M1011" t="s">
        <v>471</v>
      </c>
      <c r="N1011">
        <v>15713460</v>
      </c>
      <c r="O1011" t="s">
        <v>52</v>
      </c>
      <c r="P1011" t="s">
        <v>472</v>
      </c>
    </row>
    <row r="1012" spans="1:16" x14ac:dyDescent="0.3">
      <c r="A1012" t="s">
        <v>1328</v>
      </c>
      <c r="B1012" t="s">
        <v>67</v>
      </c>
      <c r="C1012" s="51">
        <v>46300.938194444447</v>
      </c>
      <c r="D1012" s="51">
        <v>46297.534722222219</v>
      </c>
      <c r="E1012" t="s">
        <v>87</v>
      </c>
      <c r="F1012" t="s">
        <v>48</v>
      </c>
      <c r="G1012" t="s">
        <v>49</v>
      </c>
      <c r="H1012" t="s">
        <v>68</v>
      </c>
      <c r="I1012" t="s">
        <v>69</v>
      </c>
      <c r="J1012" t="s">
        <v>70</v>
      </c>
      <c r="K1012" t="s">
        <v>469</v>
      </c>
      <c r="L1012" t="s">
        <v>470</v>
      </c>
      <c r="M1012" t="s">
        <v>471</v>
      </c>
      <c r="N1012">
        <v>15713452</v>
      </c>
      <c r="O1012" t="s">
        <v>52</v>
      </c>
      <c r="P1012" t="s">
        <v>472</v>
      </c>
    </row>
    <row r="1013" spans="1:16" x14ac:dyDescent="0.3">
      <c r="A1013" t="s">
        <v>1329</v>
      </c>
      <c r="B1013" t="s">
        <v>74</v>
      </c>
      <c r="C1013" s="51">
        <v>46300.938194444447</v>
      </c>
      <c r="D1013" s="51">
        <v>46297.534722222219</v>
      </c>
      <c r="E1013" t="s">
        <v>87</v>
      </c>
      <c r="F1013" t="s">
        <v>48</v>
      </c>
      <c r="G1013" t="s">
        <v>49</v>
      </c>
      <c r="H1013" t="s">
        <v>75</v>
      </c>
      <c r="I1013" t="s">
        <v>76</v>
      </c>
      <c r="J1013" t="s">
        <v>70</v>
      </c>
      <c r="K1013" t="s">
        <v>469</v>
      </c>
      <c r="L1013" t="s">
        <v>470</v>
      </c>
      <c r="M1013" t="s">
        <v>471</v>
      </c>
      <c r="N1013">
        <v>15713444</v>
      </c>
      <c r="O1013" t="s">
        <v>52</v>
      </c>
      <c r="P1013" t="s">
        <v>472</v>
      </c>
    </row>
    <row r="1014" spans="1:16" x14ac:dyDescent="0.3">
      <c r="A1014" t="s">
        <v>1330</v>
      </c>
      <c r="B1014" t="s">
        <v>113</v>
      </c>
      <c r="C1014" s="51">
        <v>46300.938194444447</v>
      </c>
      <c r="D1014" s="51">
        <v>46297.505555555559</v>
      </c>
      <c r="E1014" t="s">
        <v>87</v>
      </c>
      <c r="F1014" t="s">
        <v>48</v>
      </c>
      <c r="G1014" t="s">
        <v>49</v>
      </c>
      <c r="H1014" t="s">
        <v>114</v>
      </c>
      <c r="I1014" t="s">
        <v>115</v>
      </c>
      <c r="J1014" t="s">
        <v>116</v>
      </c>
      <c r="K1014" t="s">
        <v>469</v>
      </c>
      <c r="L1014" t="s">
        <v>470</v>
      </c>
      <c r="M1014" t="s">
        <v>471</v>
      </c>
      <c r="N1014">
        <v>15713400</v>
      </c>
      <c r="O1014" t="s">
        <v>52</v>
      </c>
      <c r="P1014" t="s">
        <v>472</v>
      </c>
    </row>
    <row r="1015" spans="1:16" x14ac:dyDescent="0.3">
      <c r="A1015" t="s">
        <v>1331</v>
      </c>
      <c r="B1015" t="s">
        <v>67</v>
      </c>
      <c r="C1015" s="51">
        <v>46300.938194444447</v>
      </c>
      <c r="D1015" s="51">
        <v>46297.505555555559</v>
      </c>
      <c r="E1015" t="s">
        <v>87</v>
      </c>
      <c r="F1015" t="s">
        <v>48</v>
      </c>
      <c r="G1015" t="s">
        <v>49</v>
      </c>
      <c r="H1015" t="s">
        <v>68</v>
      </c>
      <c r="I1015" t="s">
        <v>69</v>
      </c>
      <c r="J1015" t="s">
        <v>70</v>
      </c>
      <c r="K1015" t="s">
        <v>469</v>
      </c>
      <c r="L1015" t="s">
        <v>470</v>
      </c>
      <c r="M1015" t="s">
        <v>471</v>
      </c>
      <c r="N1015">
        <v>15713414</v>
      </c>
      <c r="O1015" t="s">
        <v>52</v>
      </c>
      <c r="P1015" t="s">
        <v>472</v>
      </c>
    </row>
    <row r="1016" spans="1:16" x14ac:dyDescent="0.3">
      <c r="A1016" t="s">
        <v>1332</v>
      </c>
      <c r="B1016" t="s">
        <v>67</v>
      </c>
      <c r="C1016" s="51">
        <v>46300.938194444447</v>
      </c>
      <c r="D1016" s="51">
        <v>46297.505555555559</v>
      </c>
      <c r="E1016" t="s">
        <v>87</v>
      </c>
      <c r="F1016" t="s">
        <v>48</v>
      </c>
      <c r="G1016" t="s">
        <v>49</v>
      </c>
      <c r="H1016" t="s">
        <v>68</v>
      </c>
      <c r="I1016" t="s">
        <v>69</v>
      </c>
      <c r="J1016" t="s">
        <v>70</v>
      </c>
      <c r="K1016" t="s">
        <v>469</v>
      </c>
      <c r="L1016" t="s">
        <v>470</v>
      </c>
      <c r="M1016" t="s">
        <v>471</v>
      </c>
      <c r="N1016">
        <v>15713296</v>
      </c>
      <c r="O1016" t="s">
        <v>52</v>
      </c>
      <c r="P1016" t="s">
        <v>472</v>
      </c>
    </row>
    <row r="1017" spans="1:16" x14ac:dyDescent="0.3">
      <c r="A1017" t="s">
        <v>1333</v>
      </c>
      <c r="B1017" t="s">
        <v>47</v>
      </c>
      <c r="C1017" s="51">
        <v>46300.938194444447</v>
      </c>
      <c r="D1017" s="51">
        <v>46297.495833333334</v>
      </c>
      <c r="E1017" t="s">
        <v>87</v>
      </c>
      <c r="F1017" t="s">
        <v>48</v>
      </c>
      <c r="G1017" t="s">
        <v>49</v>
      </c>
      <c r="H1017" t="s">
        <v>50</v>
      </c>
      <c r="I1017" t="s">
        <v>66</v>
      </c>
      <c r="J1017" t="s">
        <v>51</v>
      </c>
      <c r="K1017" t="s">
        <v>469</v>
      </c>
      <c r="L1017" t="s">
        <v>470</v>
      </c>
      <c r="M1017" t="s">
        <v>471</v>
      </c>
      <c r="N1017">
        <v>15713254</v>
      </c>
      <c r="O1017" t="s">
        <v>52</v>
      </c>
      <c r="P1017" t="s">
        <v>472</v>
      </c>
    </row>
    <row r="1018" spans="1:16" x14ac:dyDescent="0.3">
      <c r="A1018" t="s">
        <v>1334</v>
      </c>
      <c r="B1018" t="s">
        <v>108</v>
      </c>
      <c r="C1018" s="51">
        <v>46298.5</v>
      </c>
      <c r="D1018" s="51">
        <v>46297.488888888889</v>
      </c>
      <c r="E1018" t="s">
        <v>87</v>
      </c>
      <c r="F1018" t="s">
        <v>77</v>
      </c>
      <c r="G1018" t="s">
        <v>107</v>
      </c>
      <c r="H1018" t="s">
        <v>109</v>
      </c>
      <c r="I1018" t="s">
        <v>122</v>
      </c>
      <c r="J1018" t="s">
        <v>123</v>
      </c>
      <c r="K1018" t="s">
        <v>90</v>
      </c>
      <c r="L1018" t="s">
        <v>473</v>
      </c>
      <c r="M1018">
        <v>0</v>
      </c>
      <c r="O1018" t="s">
        <v>503</v>
      </c>
      <c r="P1018" t="s">
        <v>474</v>
      </c>
    </row>
    <row r="1019" spans="1:16" x14ac:dyDescent="0.3">
      <c r="A1019" t="s">
        <v>1335</v>
      </c>
      <c r="B1019" t="s">
        <v>108</v>
      </c>
      <c r="C1019" s="51">
        <v>46298.5</v>
      </c>
      <c r="D1019" s="51">
        <v>46297.478472222225</v>
      </c>
      <c r="E1019" t="s">
        <v>87</v>
      </c>
      <c r="F1019" t="s">
        <v>77</v>
      </c>
      <c r="G1019" t="s">
        <v>107</v>
      </c>
      <c r="H1019" t="s">
        <v>109</v>
      </c>
      <c r="I1019" t="s">
        <v>122</v>
      </c>
      <c r="J1019" t="s">
        <v>123</v>
      </c>
      <c r="K1019" t="s">
        <v>475</v>
      </c>
      <c r="L1019" t="s">
        <v>473</v>
      </c>
      <c r="M1019">
        <v>0</v>
      </c>
      <c r="O1019" t="s">
        <v>503</v>
      </c>
      <c r="P1019" t="s">
        <v>474</v>
      </c>
    </row>
    <row r="1020" spans="1:16" x14ac:dyDescent="0.3">
      <c r="A1020" t="s">
        <v>1336</v>
      </c>
      <c r="B1020" t="s">
        <v>124</v>
      </c>
      <c r="C1020" s="51">
        <v>46298.5</v>
      </c>
      <c r="D1020" s="51">
        <v>46297.466666666667</v>
      </c>
      <c r="E1020" t="s">
        <v>87</v>
      </c>
      <c r="F1020" t="s">
        <v>77</v>
      </c>
      <c r="G1020" t="s">
        <v>107</v>
      </c>
      <c r="H1020" t="s">
        <v>125</v>
      </c>
      <c r="I1020" t="s">
        <v>122</v>
      </c>
      <c r="J1020" t="s">
        <v>126</v>
      </c>
      <c r="K1020" t="s">
        <v>475</v>
      </c>
      <c r="L1020" t="s">
        <v>473</v>
      </c>
      <c r="M1020" t="s">
        <v>477</v>
      </c>
      <c r="O1020" t="s">
        <v>503</v>
      </c>
      <c r="P1020" t="s">
        <v>474</v>
      </c>
    </row>
    <row r="1021" spans="1:16" x14ac:dyDescent="0.3">
      <c r="A1021" t="s">
        <v>1337</v>
      </c>
      <c r="B1021" t="s">
        <v>1338</v>
      </c>
      <c r="C1021" s="51">
        <v>46298.5</v>
      </c>
      <c r="D1021" s="51">
        <v>46297.462500000001</v>
      </c>
      <c r="E1021" t="s">
        <v>87</v>
      </c>
      <c r="F1021" t="s">
        <v>77</v>
      </c>
      <c r="G1021" t="s">
        <v>154</v>
      </c>
      <c r="H1021" t="s">
        <v>1339</v>
      </c>
      <c r="I1021" t="s">
        <v>1340</v>
      </c>
      <c r="J1021" t="s">
        <v>172</v>
      </c>
      <c r="K1021" t="s">
        <v>481</v>
      </c>
      <c r="L1021" t="s">
        <v>473</v>
      </c>
      <c r="M1021" t="s">
        <v>478</v>
      </c>
      <c r="O1021" t="s">
        <v>1341</v>
      </c>
      <c r="P1021" t="s">
        <v>474</v>
      </c>
    </row>
    <row r="1022" spans="1:16" x14ac:dyDescent="0.3">
      <c r="A1022" t="s">
        <v>1342</v>
      </c>
      <c r="B1022" t="s">
        <v>47</v>
      </c>
      <c r="C1022" s="51">
        <v>46300.938194444447</v>
      </c>
      <c r="D1022" s="51">
        <v>46297.450694444444</v>
      </c>
      <c r="E1022" t="s">
        <v>87</v>
      </c>
      <c r="F1022" t="s">
        <v>48</v>
      </c>
      <c r="G1022" t="s">
        <v>49</v>
      </c>
      <c r="H1022" t="s">
        <v>50</v>
      </c>
      <c r="I1022" t="s">
        <v>149</v>
      </c>
      <c r="J1022" t="s">
        <v>51</v>
      </c>
      <c r="K1022" t="s">
        <v>469</v>
      </c>
      <c r="L1022" t="s">
        <v>470</v>
      </c>
      <c r="M1022" t="s">
        <v>471</v>
      </c>
      <c r="N1022">
        <v>15712466</v>
      </c>
      <c r="O1022" t="s">
        <v>52</v>
      </c>
      <c r="P1022" t="s">
        <v>472</v>
      </c>
    </row>
    <row r="1023" spans="1:16" x14ac:dyDescent="0.3">
      <c r="A1023" t="s">
        <v>1343</v>
      </c>
      <c r="B1023" t="s">
        <v>124</v>
      </c>
      <c r="C1023" s="51">
        <v>46298.375</v>
      </c>
      <c r="D1023" s="51">
        <v>46297.365972222222</v>
      </c>
      <c r="E1023" t="s">
        <v>87</v>
      </c>
      <c r="F1023" t="s">
        <v>77</v>
      </c>
      <c r="G1023" t="s">
        <v>107</v>
      </c>
      <c r="H1023" t="s">
        <v>125</v>
      </c>
      <c r="I1023" t="s">
        <v>122</v>
      </c>
      <c r="J1023" t="s">
        <v>126</v>
      </c>
      <c r="K1023" t="s">
        <v>475</v>
      </c>
      <c r="L1023" t="s">
        <v>473</v>
      </c>
      <c r="M1023" t="s">
        <v>480</v>
      </c>
      <c r="O1023" t="s">
        <v>56</v>
      </c>
      <c r="P1023" t="s">
        <v>474</v>
      </c>
    </row>
    <row r="1024" spans="1:16" x14ac:dyDescent="0.3">
      <c r="A1024" t="s">
        <v>1344</v>
      </c>
      <c r="B1024" t="s">
        <v>1345</v>
      </c>
      <c r="C1024" s="51">
        <v>46298.333333333336</v>
      </c>
      <c r="D1024" s="51">
        <v>46297.331250000003</v>
      </c>
      <c r="E1024" t="s">
        <v>87</v>
      </c>
      <c r="F1024" t="s">
        <v>77</v>
      </c>
      <c r="G1024" t="s">
        <v>146</v>
      </c>
      <c r="H1024" t="s">
        <v>1346</v>
      </c>
      <c r="I1024" t="s">
        <v>81</v>
      </c>
      <c r="J1024" t="s">
        <v>55</v>
      </c>
      <c r="K1024" t="s">
        <v>482</v>
      </c>
      <c r="L1024" t="s">
        <v>473</v>
      </c>
      <c r="M1024" t="s">
        <v>1347</v>
      </c>
      <c r="O1024" t="s">
        <v>56</v>
      </c>
      <c r="P1024" t="s">
        <v>474</v>
      </c>
    </row>
    <row r="1025" spans="1:16" x14ac:dyDescent="0.3">
      <c r="A1025" t="s">
        <v>1348</v>
      </c>
      <c r="B1025" t="s">
        <v>124</v>
      </c>
      <c r="C1025" s="51">
        <v>46298.333333333336</v>
      </c>
      <c r="D1025" s="51">
        <v>46297.313888888886</v>
      </c>
      <c r="E1025" t="s">
        <v>87</v>
      </c>
      <c r="F1025" t="s">
        <v>77</v>
      </c>
      <c r="G1025" t="s">
        <v>107</v>
      </c>
      <c r="H1025" t="s">
        <v>125</v>
      </c>
      <c r="I1025" t="s">
        <v>122</v>
      </c>
      <c r="J1025" t="s">
        <v>126</v>
      </c>
      <c r="K1025" t="s">
        <v>475</v>
      </c>
      <c r="L1025" t="s">
        <v>473</v>
      </c>
      <c r="M1025" t="s">
        <v>480</v>
      </c>
      <c r="O1025" t="s">
        <v>503</v>
      </c>
      <c r="P1025" t="s">
        <v>474</v>
      </c>
    </row>
    <row r="1026" spans="1:16" x14ac:dyDescent="0.3">
      <c r="A1026" t="s">
        <v>1349</v>
      </c>
      <c r="B1026" t="s">
        <v>108</v>
      </c>
      <c r="C1026" s="51">
        <v>46298.333333333336</v>
      </c>
      <c r="D1026" s="51">
        <v>46297.298611111109</v>
      </c>
      <c r="E1026" t="s">
        <v>87</v>
      </c>
      <c r="F1026" t="s">
        <v>77</v>
      </c>
      <c r="G1026" t="s">
        <v>107</v>
      </c>
      <c r="H1026" t="s">
        <v>109</v>
      </c>
      <c r="I1026" t="s">
        <v>122</v>
      </c>
      <c r="J1026" t="s">
        <v>123</v>
      </c>
      <c r="K1026" t="s">
        <v>475</v>
      </c>
      <c r="L1026" t="s">
        <v>473</v>
      </c>
      <c r="M1026" t="s">
        <v>495</v>
      </c>
      <c r="O1026" t="s">
        <v>56</v>
      </c>
      <c r="P1026" t="s">
        <v>474</v>
      </c>
    </row>
    <row r="1027" spans="1:16" x14ac:dyDescent="0.3">
      <c r="A1027" t="s">
        <v>1350</v>
      </c>
      <c r="B1027" t="s">
        <v>110</v>
      </c>
      <c r="C1027" s="51">
        <v>46298.333333333336</v>
      </c>
      <c r="D1027" s="51">
        <v>46297.293749999997</v>
      </c>
      <c r="E1027" t="s">
        <v>87</v>
      </c>
      <c r="F1027" t="s">
        <v>77</v>
      </c>
      <c r="G1027" t="s">
        <v>107</v>
      </c>
      <c r="H1027" t="s">
        <v>111</v>
      </c>
      <c r="I1027" t="s">
        <v>127</v>
      </c>
      <c r="J1027" t="s">
        <v>128</v>
      </c>
      <c r="K1027" t="s">
        <v>475</v>
      </c>
      <c r="L1027" t="s">
        <v>473</v>
      </c>
      <c r="M1027" t="s">
        <v>495</v>
      </c>
      <c r="O1027" t="s">
        <v>503</v>
      </c>
      <c r="P1027" t="s">
        <v>474</v>
      </c>
    </row>
    <row r="1028" spans="1:16" x14ac:dyDescent="0.3">
      <c r="A1028" t="s">
        <v>1351</v>
      </c>
      <c r="B1028" t="s">
        <v>47</v>
      </c>
      <c r="C1028" s="51">
        <v>46300.938194444447</v>
      </c>
      <c r="D1028" s="51">
        <v>46297.261111111111</v>
      </c>
      <c r="E1028" t="s">
        <v>87</v>
      </c>
      <c r="F1028" t="s">
        <v>48</v>
      </c>
      <c r="G1028" t="s">
        <v>49</v>
      </c>
      <c r="H1028" t="s">
        <v>50</v>
      </c>
      <c r="I1028" t="s">
        <v>66</v>
      </c>
      <c r="J1028" t="s">
        <v>51</v>
      </c>
      <c r="K1028" t="s">
        <v>469</v>
      </c>
      <c r="L1028" t="s">
        <v>470</v>
      </c>
      <c r="M1028" t="s">
        <v>471</v>
      </c>
      <c r="N1028">
        <v>15711478</v>
      </c>
      <c r="O1028" t="s">
        <v>52</v>
      </c>
      <c r="P1028" t="s">
        <v>472</v>
      </c>
    </row>
    <row r="1029" spans="1:16" x14ac:dyDescent="0.3">
      <c r="A1029" t="s">
        <v>1352</v>
      </c>
      <c r="B1029" t="s">
        <v>47</v>
      </c>
      <c r="C1029" s="51">
        <v>46300.938194444447</v>
      </c>
      <c r="D1029" s="51">
        <v>46297.053472222222</v>
      </c>
      <c r="E1029" t="s">
        <v>87</v>
      </c>
      <c r="F1029" t="s">
        <v>48</v>
      </c>
      <c r="G1029" t="s">
        <v>49</v>
      </c>
      <c r="H1029" t="s">
        <v>50</v>
      </c>
      <c r="I1029" t="s">
        <v>66</v>
      </c>
      <c r="J1029" t="s">
        <v>51</v>
      </c>
      <c r="K1029" t="s">
        <v>469</v>
      </c>
      <c r="L1029" t="s">
        <v>470</v>
      </c>
      <c r="M1029" t="s">
        <v>471</v>
      </c>
      <c r="N1029">
        <v>15711404</v>
      </c>
      <c r="O1029" t="s">
        <v>52</v>
      </c>
      <c r="P1029" t="s">
        <v>472</v>
      </c>
    </row>
    <row r="1030" spans="1:16" x14ac:dyDescent="0.3">
      <c r="A1030" t="s">
        <v>1353</v>
      </c>
      <c r="B1030" t="s">
        <v>67</v>
      </c>
      <c r="C1030" s="51">
        <v>46300.938194444447</v>
      </c>
      <c r="D1030" s="51">
        <v>46297.00277777778</v>
      </c>
      <c r="E1030" t="s">
        <v>87</v>
      </c>
      <c r="F1030" t="s">
        <v>48</v>
      </c>
      <c r="G1030" t="s">
        <v>49</v>
      </c>
      <c r="H1030" t="s">
        <v>68</v>
      </c>
      <c r="I1030" t="s">
        <v>69</v>
      </c>
      <c r="J1030" t="s">
        <v>70</v>
      </c>
      <c r="K1030" t="s">
        <v>469</v>
      </c>
      <c r="L1030" t="s">
        <v>470</v>
      </c>
      <c r="M1030" t="s">
        <v>471</v>
      </c>
      <c r="N1030">
        <v>15711276</v>
      </c>
      <c r="O1030" t="s">
        <v>52</v>
      </c>
      <c r="P1030" t="s">
        <v>472</v>
      </c>
    </row>
    <row r="1031" spans="1:16" x14ac:dyDescent="0.3">
      <c r="A1031" t="s">
        <v>1354</v>
      </c>
      <c r="B1031" t="s">
        <v>108</v>
      </c>
      <c r="C1031" s="51">
        <v>46297.958333333336</v>
      </c>
      <c r="D1031" s="51">
        <v>46296.950694444444</v>
      </c>
      <c r="E1031" t="s">
        <v>87</v>
      </c>
      <c r="F1031" t="s">
        <v>77</v>
      </c>
      <c r="G1031" t="s">
        <v>107</v>
      </c>
      <c r="H1031" t="s">
        <v>109</v>
      </c>
      <c r="I1031" t="s">
        <v>122</v>
      </c>
      <c r="J1031" t="s">
        <v>123</v>
      </c>
      <c r="K1031" t="s">
        <v>475</v>
      </c>
      <c r="L1031" t="s">
        <v>473</v>
      </c>
      <c r="O1031" t="s">
        <v>503</v>
      </c>
      <c r="P1031" t="s">
        <v>474</v>
      </c>
    </row>
    <row r="1032" spans="1:16" x14ac:dyDescent="0.3">
      <c r="A1032" t="s">
        <v>1355</v>
      </c>
      <c r="B1032" t="s">
        <v>67</v>
      </c>
      <c r="C1032" s="51">
        <v>46300.938194444447</v>
      </c>
      <c r="D1032" s="51">
        <v>46296.898611111108</v>
      </c>
      <c r="E1032" t="s">
        <v>87</v>
      </c>
      <c r="F1032" t="s">
        <v>48</v>
      </c>
      <c r="G1032" t="s">
        <v>49</v>
      </c>
      <c r="H1032" t="s">
        <v>68</v>
      </c>
      <c r="I1032" t="s">
        <v>69</v>
      </c>
      <c r="J1032" t="s">
        <v>70</v>
      </c>
      <c r="K1032" t="s">
        <v>469</v>
      </c>
      <c r="L1032" t="s">
        <v>470</v>
      </c>
      <c r="M1032" t="s">
        <v>471</v>
      </c>
      <c r="N1032">
        <v>15711452</v>
      </c>
      <c r="O1032" t="s">
        <v>52</v>
      </c>
      <c r="P1032" t="s">
        <v>472</v>
      </c>
    </row>
    <row r="1033" spans="1:16" x14ac:dyDescent="0.3">
      <c r="A1033" t="s">
        <v>1356</v>
      </c>
      <c r="B1033" t="s">
        <v>67</v>
      </c>
      <c r="C1033" s="51">
        <v>46300.938194444447</v>
      </c>
      <c r="D1033" s="51">
        <v>46296.856249999997</v>
      </c>
      <c r="E1033" t="s">
        <v>87</v>
      </c>
      <c r="F1033" t="s">
        <v>48</v>
      </c>
      <c r="G1033" t="s">
        <v>49</v>
      </c>
      <c r="H1033" t="s">
        <v>68</v>
      </c>
      <c r="I1033" t="s">
        <v>69</v>
      </c>
      <c r="J1033" t="s">
        <v>70</v>
      </c>
      <c r="K1033" t="s">
        <v>469</v>
      </c>
      <c r="L1033" t="s">
        <v>470</v>
      </c>
      <c r="M1033" t="s">
        <v>471</v>
      </c>
      <c r="N1033">
        <v>15711224</v>
      </c>
      <c r="O1033" t="s">
        <v>52</v>
      </c>
      <c r="P1033" t="s">
        <v>472</v>
      </c>
    </row>
    <row r="1034" spans="1:16" x14ac:dyDescent="0.3">
      <c r="A1034" t="s">
        <v>1357</v>
      </c>
      <c r="B1034" t="s">
        <v>140</v>
      </c>
      <c r="C1034" s="51">
        <v>46297.875</v>
      </c>
      <c r="D1034" s="51">
        <v>46296.845138888886</v>
      </c>
      <c r="E1034" t="s">
        <v>87</v>
      </c>
      <c r="F1034" t="s">
        <v>48</v>
      </c>
      <c r="G1034" t="s">
        <v>141</v>
      </c>
      <c r="H1034" t="s">
        <v>141</v>
      </c>
      <c r="I1034" t="s">
        <v>84</v>
      </c>
      <c r="J1034" t="s">
        <v>55</v>
      </c>
      <c r="K1034" t="s">
        <v>487</v>
      </c>
      <c r="L1034" t="s">
        <v>473</v>
      </c>
      <c r="M1034" t="s">
        <v>477</v>
      </c>
      <c r="O1034" t="s">
        <v>134</v>
      </c>
      <c r="P1034" t="s">
        <v>474</v>
      </c>
    </row>
    <row r="1035" spans="1:16" x14ac:dyDescent="0.3">
      <c r="A1035" t="s">
        <v>1358</v>
      </c>
      <c r="B1035" t="s">
        <v>47</v>
      </c>
      <c r="C1035" s="51">
        <v>46300.938194444447</v>
      </c>
      <c r="D1035" s="51">
        <v>46296.827777777777</v>
      </c>
      <c r="E1035" t="s">
        <v>87</v>
      </c>
      <c r="F1035" t="s">
        <v>48</v>
      </c>
      <c r="G1035" t="s">
        <v>49</v>
      </c>
      <c r="H1035" t="s">
        <v>50</v>
      </c>
      <c r="I1035" t="s">
        <v>149</v>
      </c>
      <c r="J1035" t="s">
        <v>51</v>
      </c>
      <c r="K1035" t="s">
        <v>469</v>
      </c>
      <c r="L1035" t="s">
        <v>470</v>
      </c>
      <c r="M1035" t="s">
        <v>471</v>
      </c>
      <c r="N1035">
        <v>15711248</v>
      </c>
      <c r="O1035" t="s">
        <v>52</v>
      </c>
      <c r="P1035" t="s">
        <v>472</v>
      </c>
    </row>
    <row r="1036" spans="1:16" x14ac:dyDescent="0.3">
      <c r="A1036" t="s">
        <v>1359</v>
      </c>
      <c r="B1036" t="s">
        <v>155</v>
      </c>
      <c r="C1036" s="51">
        <v>46300.938194444447</v>
      </c>
      <c r="D1036" s="51">
        <v>46296.809027777781</v>
      </c>
      <c r="E1036" t="s">
        <v>87</v>
      </c>
      <c r="F1036" t="s">
        <v>53</v>
      </c>
      <c r="G1036" t="s">
        <v>85</v>
      </c>
      <c r="H1036" t="s">
        <v>156</v>
      </c>
      <c r="I1036" t="s">
        <v>157</v>
      </c>
      <c r="J1036" t="s">
        <v>70</v>
      </c>
      <c r="K1036" t="s">
        <v>469</v>
      </c>
      <c r="L1036" t="s">
        <v>470</v>
      </c>
      <c r="M1036" t="s">
        <v>471</v>
      </c>
      <c r="N1036">
        <v>15711046</v>
      </c>
      <c r="O1036" t="s">
        <v>52</v>
      </c>
      <c r="P1036" t="s">
        <v>472</v>
      </c>
    </row>
    <row r="1037" spans="1:16" x14ac:dyDescent="0.3">
      <c r="A1037" t="s">
        <v>1360</v>
      </c>
      <c r="B1037" t="s">
        <v>71</v>
      </c>
      <c r="C1037" s="51">
        <v>46297.958333333336</v>
      </c>
      <c r="D1037" s="51">
        <v>46296.79791666667</v>
      </c>
      <c r="E1037" t="s">
        <v>87</v>
      </c>
      <c r="F1037" t="s">
        <v>48</v>
      </c>
      <c r="G1037" t="s">
        <v>49</v>
      </c>
      <c r="H1037" t="s">
        <v>72</v>
      </c>
      <c r="I1037" t="s">
        <v>73</v>
      </c>
      <c r="J1037" t="s">
        <v>165</v>
      </c>
      <c r="K1037" t="s">
        <v>469</v>
      </c>
      <c r="L1037" t="s">
        <v>470</v>
      </c>
      <c r="M1037">
        <v>0</v>
      </c>
      <c r="O1037" t="s">
        <v>52</v>
      </c>
      <c r="P1037" t="s">
        <v>474</v>
      </c>
    </row>
    <row r="1038" spans="1:16" x14ac:dyDescent="0.3">
      <c r="A1038" t="s">
        <v>1361</v>
      </c>
      <c r="B1038" t="s">
        <v>67</v>
      </c>
      <c r="C1038" s="51">
        <v>46300.938194444447</v>
      </c>
      <c r="D1038" s="51">
        <v>46296.747916666667</v>
      </c>
      <c r="E1038" t="s">
        <v>87</v>
      </c>
      <c r="F1038" t="s">
        <v>48</v>
      </c>
      <c r="G1038" t="s">
        <v>49</v>
      </c>
      <c r="H1038" t="s">
        <v>68</v>
      </c>
      <c r="I1038" t="s">
        <v>69</v>
      </c>
      <c r="J1038" t="s">
        <v>70</v>
      </c>
      <c r="K1038" t="s">
        <v>469</v>
      </c>
      <c r="L1038" t="s">
        <v>470</v>
      </c>
      <c r="M1038" t="s">
        <v>471</v>
      </c>
      <c r="N1038">
        <v>15711026</v>
      </c>
      <c r="O1038" t="s">
        <v>52</v>
      </c>
      <c r="P1038" t="s">
        <v>472</v>
      </c>
    </row>
    <row r="1039" spans="1:16" x14ac:dyDescent="0.3">
      <c r="A1039" t="s">
        <v>1362</v>
      </c>
      <c r="B1039" t="s">
        <v>47</v>
      </c>
      <c r="C1039" s="51">
        <v>46300.938194444447</v>
      </c>
      <c r="D1039" s="51">
        <v>46296.719444444447</v>
      </c>
      <c r="E1039" t="s">
        <v>87</v>
      </c>
      <c r="F1039" t="s">
        <v>48</v>
      </c>
      <c r="G1039" t="s">
        <v>49</v>
      </c>
      <c r="H1039" t="s">
        <v>50</v>
      </c>
      <c r="I1039" t="s">
        <v>66</v>
      </c>
      <c r="J1039" t="s">
        <v>51</v>
      </c>
      <c r="K1039" t="s">
        <v>469</v>
      </c>
      <c r="L1039" t="s">
        <v>470</v>
      </c>
      <c r="M1039" t="s">
        <v>471</v>
      </c>
      <c r="N1039">
        <v>15711202</v>
      </c>
      <c r="O1039" t="s">
        <v>52</v>
      </c>
      <c r="P1039" t="s">
        <v>472</v>
      </c>
    </row>
    <row r="1040" spans="1:16" x14ac:dyDescent="0.3">
      <c r="A1040" t="s">
        <v>1363</v>
      </c>
      <c r="B1040" t="s">
        <v>150</v>
      </c>
      <c r="C1040" s="51">
        <v>46297.958333333336</v>
      </c>
      <c r="D1040" s="51">
        <v>46296.718055555553</v>
      </c>
      <c r="E1040" t="s">
        <v>87</v>
      </c>
      <c r="F1040" t="s">
        <v>48</v>
      </c>
      <c r="G1040" t="s">
        <v>133</v>
      </c>
      <c r="H1040" t="s">
        <v>144</v>
      </c>
      <c r="I1040" t="s">
        <v>69</v>
      </c>
      <c r="J1040" t="s">
        <v>55</v>
      </c>
      <c r="K1040" t="s">
        <v>469</v>
      </c>
      <c r="L1040" t="s">
        <v>473</v>
      </c>
      <c r="M1040" t="s">
        <v>478</v>
      </c>
      <c r="O1040" t="s">
        <v>134</v>
      </c>
      <c r="P1040" t="s">
        <v>474</v>
      </c>
    </row>
    <row r="1041" spans="1:16" x14ac:dyDescent="0.3">
      <c r="A1041" t="s">
        <v>1364</v>
      </c>
      <c r="B1041" t="s">
        <v>62</v>
      </c>
      <c r="C1041" s="51">
        <v>46297.75</v>
      </c>
      <c r="D1041" s="51">
        <v>46296.711805555555</v>
      </c>
      <c r="E1041" t="s">
        <v>87</v>
      </c>
      <c r="F1041" t="s">
        <v>53</v>
      </c>
      <c r="G1041" t="s">
        <v>54</v>
      </c>
      <c r="H1041" t="s">
        <v>63</v>
      </c>
      <c r="I1041" t="s">
        <v>64</v>
      </c>
      <c r="J1041" t="s">
        <v>65</v>
      </c>
      <c r="K1041" t="s">
        <v>481</v>
      </c>
      <c r="L1041" t="s">
        <v>470</v>
      </c>
      <c r="M1041" t="s">
        <v>489</v>
      </c>
      <c r="O1041" t="s">
        <v>52</v>
      </c>
      <c r="P1041" t="s">
        <v>474</v>
      </c>
    </row>
    <row r="1042" spans="1:16" x14ac:dyDescent="0.3">
      <c r="A1042" t="s">
        <v>1365</v>
      </c>
      <c r="B1042" t="s">
        <v>57</v>
      </c>
      <c r="C1042" s="51">
        <v>46297.75</v>
      </c>
      <c r="D1042" s="51">
        <v>46296.709027777775</v>
      </c>
      <c r="E1042" t="s">
        <v>87</v>
      </c>
      <c r="F1042" t="s">
        <v>58</v>
      </c>
      <c r="G1042" t="s">
        <v>59</v>
      </c>
      <c r="H1042" t="s">
        <v>60</v>
      </c>
      <c r="I1042" t="s">
        <v>61</v>
      </c>
      <c r="J1042" t="s">
        <v>88</v>
      </c>
      <c r="K1042" t="s">
        <v>486</v>
      </c>
      <c r="L1042" t="s">
        <v>473</v>
      </c>
      <c r="M1042" t="s">
        <v>478</v>
      </c>
      <c r="O1042" t="s">
        <v>56</v>
      </c>
      <c r="P1042" t="s">
        <v>474</v>
      </c>
    </row>
    <row r="1043" spans="1:16" x14ac:dyDescent="0.3">
      <c r="A1043" t="s">
        <v>1366</v>
      </c>
      <c r="B1043" t="s">
        <v>67</v>
      </c>
      <c r="C1043" s="51">
        <v>46300.938194444447</v>
      </c>
      <c r="D1043" s="51">
        <v>46296.686111111114</v>
      </c>
      <c r="E1043" t="s">
        <v>87</v>
      </c>
      <c r="F1043" t="s">
        <v>48</v>
      </c>
      <c r="G1043" t="s">
        <v>49</v>
      </c>
      <c r="H1043" t="s">
        <v>68</v>
      </c>
      <c r="I1043" t="s">
        <v>69</v>
      </c>
      <c r="J1043" t="s">
        <v>70</v>
      </c>
      <c r="K1043" t="s">
        <v>469</v>
      </c>
      <c r="L1043" t="s">
        <v>470</v>
      </c>
      <c r="M1043" t="s">
        <v>471</v>
      </c>
      <c r="N1043">
        <v>15711012</v>
      </c>
      <c r="O1043" t="s">
        <v>52</v>
      </c>
      <c r="P1043" t="s">
        <v>472</v>
      </c>
    </row>
    <row r="1044" spans="1:16" x14ac:dyDescent="0.3">
      <c r="A1044" t="s">
        <v>1367</v>
      </c>
      <c r="B1044" t="s">
        <v>67</v>
      </c>
      <c r="C1044" s="51">
        <v>46300.938194444447</v>
      </c>
      <c r="D1044" s="51">
        <v>46296.686111111114</v>
      </c>
      <c r="E1044" t="s">
        <v>87</v>
      </c>
      <c r="F1044" t="s">
        <v>48</v>
      </c>
      <c r="G1044" t="s">
        <v>49</v>
      </c>
      <c r="H1044" t="s">
        <v>68</v>
      </c>
      <c r="I1044" t="s">
        <v>69</v>
      </c>
      <c r="J1044" t="s">
        <v>70</v>
      </c>
      <c r="K1044" t="s">
        <v>469</v>
      </c>
      <c r="L1044" t="s">
        <v>470</v>
      </c>
      <c r="M1044" t="s">
        <v>471</v>
      </c>
      <c r="N1044">
        <v>15710996</v>
      </c>
      <c r="O1044" t="s">
        <v>52</v>
      </c>
      <c r="P1044" t="s">
        <v>472</v>
      </c>
    </row>
    <row r="1045" spans="1:16" x14ac:dyDescent="0.3">
      <c r="A1045" t="s">
        <v>1368</v>
      </c>
      <c r="B1045" t="s">
        <v>113</v>
      </c>
      <c r="C1045" s="51">
        <v>46300.938194444447</v>
      </c>
      <c r="D1045" s="51">
        <v>46296.660416666666</v>
      </c>
      <c r="E1045" t="s">
        <v>87</v>
      </c>
      <c r="F1045" t="s">
        <v>48</v>
      </c>
      <c r="G1045" t="s">
        <v>49</v>
      </c>
      <c r="H1045" t="s">
        <v>114</v>
      </c>
      <c r="I1045" t="s">
        <v>115</v>
      </c>
      <c r="J1045" t="s">
        <v>116</v>
      </c>
      <c r="K1045" t="s">
        <v>469</v>
      </c>
      <c r="L1045" t="s">
        <v>470</v>
      </c>
      <c r="M1045" t="s">
        <v>471</v>
      </c>
      <c r="N1045">
        <v>15710818</v>
      </c>
      <c r="O1045" t="s">
        <v>52</v>
      </c>
      <c r="P1045" t="s">
        <v>472</v>
      </c>
    </row>
    <row r="1046" spans="1:16" x14ac:dyDescent="0.3">
      <c r="A1046" t="s">
        <v>1369</v>
      </c>
      <c r="B1046" t="s">
        <v>135</v>
      </c>
      <c r="C1046" s="51">
        <v>46297.958333333336</v>
      </c>
      <c r="D1046" s="51">
        <v>46296.649305555555</v>
      </c>
      <c r="E1046" t="s">
        <v>87</v>
      </c>
      <c r="F1046" t="s">
        <v>48</v>
      </c>
      <c r="G1046" t="s">
        <v>133</v>
      </c>
      <c r="H1046" t="s">
        <v>136</v>
      </c>
      <c r="I1046" t="s">
        <v>177</v>
      </c>
      <c r="J1046" t="s">
        <v>151</v>
      </c>
      <c r="K1046" t="s">
        <v>469</v>
      </c>
      <c r="L1046" t="s">
        <v>473</v>
      </c>
      <c r="M1046" t="s">
        <v>523</v>
      </c>
      <c r="O1046" t="s">
        <v>134</v>
      </c>
      <c r="P1046" t="s">
        <v>474</v>
      </c>
    </row>
    <row r="1047" spans="1:16" x14ac:dyDescent="0.3">
      <c r="A1047" t="s">
        <v>1370</v>
      </c>
      <c r="B1047" t="s">
        <v>67</v>
      </c>
      <c r="C1047" s="51">
        <v>46300.938194444447</v>
      </c>
      <c r="D1047" s="51">
        <v>46296.634027777778</v>
      </c>
      <c r="E1047" t="s">
        <v>87</v>
      </c>
      <c r="F1047" t="s">
        <v>48</v>
      </c>
      <c r="G1047" t="s">
        <v>49</v>
      </c>
      <c r="H1047" t="s">
        <v>68</v>
      </c>
      <c r="I1047" t="s">
        <v>69</v>
      </c>
      <c r="J1047" t="s">
        <v>70</v>
      </c>
      <c r="K1047" t="s">
        <v>469</v>
      </c>
      <c r="L1047" t="s">
        <v>470</v>
      </c>
      <c r="M1047" t="s">
        <v>471</v>
      </c>
      <c r="N1047">
        <v>15710806</v>
      </c>
      <c r="O1047" t="s">
        <v>52</v>
      </c>
      <c r="P1047" t="s">
        <v>472</v>
      </c>
    </row>
    <row r="1048" spans="1:16" x14ac:dyDescent="0.3">
      <c r="A1048" t="s">
        <v>1371</v>
      </c>
      <c r="B1048" t="s">
        <v>74</v>
      </c>
      <c r="C1048" s="51">
        <v>46300.938194444447</v>
      </c>
      <c r="D1048" s="51">
        <v>46296.631249999999</v>
      </c>
      <c r="E1048" t="s">
        <v>87</v>
      </c>
      <c r="F1048" t="s">
        <v>48</v>
      </c>
      <c r="G1048" t="s">
        <v>49</v>
      </c>
      <c r="H1048" t="s">
        <v>75</v>
      </c>
      <c r="I1048" t="s">
        <v>76</v>
      </c>
      <c r="J1048" t="s">
        <v>70</v>
      </c>
      <c r="K1048" t="s">
        <v>469</v>
      </c>
      <c r="L1048" t="s">
        <v>470</v>
      </c>
      <c r="M1048" t="s">
        <v>471</v>
      </c>
      <c r="N1048">
        <v>15710800</v>
      </c>
      <c r="O1048" t="s">
        <v>52</v>
      </c>
      <c r="P1048" t="s">
        <v>472</v>
      </c>
    </row>
    <row r="1049" spans="1:16" x14ac:dyDescent="0.3">
      <c r="A1049" t="s">
        <v>1372</v>
      </c>
      <c r="B1049" t="s">
        <v>140</v>
      </c>
      <c r="C1049" s="51">
        <v>46297.583333333336</v>
      </c>
      <c r="D1049" s="51">
        <v>46296.572916666664</v>
      </c>
      <c r="E1049" t="s">
        <v>87</v>
      </c>
      <c r="F1049" t="s">
        <v>48</v>
      </c>
      <c r="G1049" t="s">
        <v>141</v>
      </c>
      <c r="H1049" t="s">
        <v>141</v>
      </c>
      <c r="I1049" t="s">
        <v>84</v>
      </c>
      <c r="J1049" t="s">
        <v>55</v>
      </c>
      <c r="K1049" t="s">
        <v>487</v>
      </c>
      <c r="L1049" t="s">
        <v>473</v>
      </c>
      <c r="M1049" t="s">
        <v>1373</v>
      </c>
      <c r="O1049" t="s">
        <v>56</v>
      </c>
      <c r="P1049" t="s">
        <v>474</v>
      </c>
    </row>
    <row r="1050" spans="1:16" x14ac:dyDescent="0.3">
      <c r="A1050" t="s">
        <v>1374</v>
      </c>
      <c r="B1050" t="s">
        <v>67</v>
      </c>
      <c r="C1050" s="51">
        <v>46300.938194444447</v>
      </c>
      <c r="D1050" s="51">
        <v>46296.568055555559</v>
      </c>
      <c r="E1050" t="s">
        <v>87</v>
      </c>
      <c r="F1050" t="s">
        <v>48</v>
      </c>
      <c r="G1050" t="s">
        <v>49</v>
      </c>
      <c r="H1050" t="s">
        <v>68</v>
      </c>
      <c r="I1050" t="s">
        <v>69</v>
      </c>
      <c r="J1050" t="s">
        <v>70</v>
      </c>
      <c r="K1050" t="s">
        <v>469</v>
      </c>
      <c r="L1050" t="s">
        <v>470</v>
      </c>
      <c r="M1050" t="s">
        <v>471</v>
      </c>
      <c r="N1050">
        <v>15705642</v>
      </c>
      <c r="O1050" t="s">
        <v>52</v>
      </c>
      <c r="P1050" t="s">
        <v>472</v>
      </c>
    </row>
    <row r="1051" spans="1:16" x14ac:dyDescent="0.3">
      <c r="A1051" t="s">
        <v>1375</v>
      </c>
      <c r="B1051" t="s">
        <v>67</v>
      </c>
      <c r="C1051" s="51">
        <v>46300.938194444447</v>
      </c>
      <c r="D1051" s="51">
        <v>46296.567361111112</v>
      </c>
      <c r="E1051" t="s">
        <v>87</v>
      </c>
      <c r="F1051" t="s">
        <v>48</v>
      </c>
      <c r="G1051" t="s">
        <v>49</v>
      </c>
      <c r="H1051" t="s">
        <v>68</v>
      </c>
      <c r="I1051" t="s">
        <v>69</v>
      </c>
      <c r="J1051" t="s">
        <v>70</v>
      </c>
      <c r="K1051" t="s">
        <v>469</v>
      </c>
      <c r="L1051" t="s">
        <v>470</v>
      </c>
      <c r="M1051" t="s">
        <v>471</v>
      </c>
      <c r="N1051">
        <v>15705632</v>
      </c>
      <c r="O1051" t="s">
        <v>52</v>
      </c>
      <c r="P1051" t="s">
        <v>472</v>
      </c>
    </row>
    <row r="1052" spans="1:16" x14ac:dyDescent="0.3">
      <c r="A1052" t="s">
        <v>1376</v>
      </c>
      <c r="B1052" t="s">
        <v>67</v>
      </c>
      <c r="C1052" s="51">
        <v>46300.938194444447</v>
      </c>
      <c r="D1052" s="51">
        <v>46296.567361111112</v>
      </c>
      <c r="E1052" t="s">
        <v>87</v>
      </c>
      <c r="F1052" t="s">
        <v>48</v>
      </c>
      <c r="G1052" t="s">
        <v>49</v>
      </c>
      <c r="H1052" t="s">
        <v>68</v>
      </c>
      <c r="I1052" t="s">
        <v>69</v>
      </c>
      <c r="J1052" t="s">
        <v>70</v>
      </c>
      <c r="K1052" t="s">
        <v>469</v>
      </c>
      <c r="L1052" t="s">
        <v>470</v>
      </c>
      <c r="M1052" t="s">
        <v>471</v>
      </c>
      <c r="N1052">
        <v>15705640</v>
      </c>
      <c r="O1052" t="s">
        <v>52</v>
      </c>
      <c r="P1052" t="s">
        <v>472</v>
      </c>
    </row>
    <row r="1053" spans="1:16" x14ac:dyDescent="0.3">
      <c r="A1053" t="s">
        <v>1377</v>
      </c>
      <c r="B1053" t="s">
        <v>140</v>
      </c>
      <c r="C1053" s="51">
        <v>46297.583333333336</v>
      </c>
      <c r="D1053" s="51">
        <v>46296.564583333333</v>
      </c>
      <c r="E1053" t="s">
        <v>87</v>
      </c>
      <c r="F1053" t="s">
        <v>48</v>
      </c>
      <c r="G1053" t="s">
        <v>141</v>
      </c>
      <c r="H1053" t="s">
        <v>141</v>
      </c>
      <c r="I1053" t="s">
        <v>84</v>
      </c>
      <c r="J1053" t="s">
        <v>55</v>
      </c>
      <c r="K1053" t="s">
        <v>487</v>
      </c>
      <c r="L1053" t="s">
        <v>473</v>
      </c>
      <c r="M1053" t="s">
        <v>1378</v>
      </c>
      <c r="O1053" t="s">
        <v>129</v>
      </c>
      <c r="P1053" t="s">
        <v>474</v>
      </c>
    </row>
    <row r="1054" spans="1:16" x14ac:dyDescent="0.3">
      <c r="A1054" t="s">
        <v>1379</v>
      </c>
      <c r="B1054" t="s">
        <v>140</v>
      </c>
      <c r="C1054" s="51">
        <v>46297.583333333336</v>
      </c>
      <c r="D1054" s="51">
        <v>46296.563194444447</v>
      </c>
      <c r="E1054" t="s">
        <v>87</v>
      </c>
      <c r="F1054" t="s">
        <v>48</v>
      </c>
      <c r="G1054" t="s">
        <v>141</v>
      </c>
      <c r="H1054" t="s">
        <v>141</v>
      </c>
      <c r="I1054" t="s">
        <v>84</v>
      </c>
      <c r="J1054" t="s">
        <v>55</v>
      </c>
      <c r="K1054" t="s">
        <v>487</v>
      </c>
      <c r="L1054" t="s">
        <v>473</v>
      </c>
      <c r="M1054" t="s">
        <v>1380</v>
      </c>
      <c r="O1054" t="s">
        <v>153</v>
      </c>
      <c r="P1054" t="s">
        <v>474</v>
      </c>
    </row>
    <row r="1055" spans="1:16" x14ac:dyDescent="0.3">
      <c r="A1055" t="s">
        <v>1381</v>
      </c>
      <c r="B1055" t="s">
        <v>47</v>
      </c>
      <c r="C1055" s="51">
        <v>46297.9375</v>
      </c>
      <c r="D1055" s="51">
        <v>46296.544444444444</v>
      </c>
      <c r="E1055" t="s">
        <v>87</v>
      </c>
      <c r="F1055" t="s">
        <v>48</v>
      </c>
      <c r="G1055" t="s">
        <v>49</v>
      </c>
      <c r="H1055" t="s">
        <v>50</v>
      </c>
      <c r="I1055" t="s">
        <v>66</v>
      </c>
      <c r="J1055" t="s">
        <v>51</v>
      </c>
      <c r="K1055" t="s">
        <v>469</v>
      </c>
      <c r="L1055" t="s">
        <v>470</v>
      </c>
      <c r="M1055" t="s">
        <v>471</v>
      </c>
      <c r="N1055">
        <v>15705076</v>
      </c>
      <c r="O1055" t="s">
        <v>52</v>
      </c>
      <c r="P1055" t="s">
        <v>472</v>
      </c>
    </row>
    <row r="1056" spans="1:16" x14ac:dyDescent="0.3">
      <c r="A1056" t="s">
        <v>1382</v>
      </c>
      <c r="B1056" t="s">
        <v>74</v>
      </c>
      <c r="C1056" s="51">
        <v>46297.9375</v>
      </c>
      <c r="D1056" s="51">
        <v>46296.527777777781</v>
      </c>
      <c r="E1056" t="s">
        <v>87</v>
      </c>
      <c r="F1056" t="s">
        <v>48</v>
      </c>
      <c r="G1056" t="s">
        <v>49</v>
      </c>
      <c r="H1056" t="s">
        <v>75</v>
      </c>
      <c r="I1056" t="s">
        <v>86</v>
      </c>
      <c r="J1056" t="s">
        <v>70</v>
      </c>
      <c r="K1056" t="s">
        <v>469</v>
      </c>
      <c r="L1056" t="s">
        <v>470</v>
      </c>
      <c r="M1056" t="s">
        <v>471</v>
      </c>
      <c r="N1056">
        <v>15705234</v>
      </c>
      <c r="O1056" t="s">
        <v>52</v>
      </c>
      <c r="P1056" t="s">
        <v>472</v>
      </c>
    </row>
    <row r="1057" spans="1:16" x14ac:dyDescent="0.3">
      <c r="A1057" t="s">
        <v>1383</v>
      </c>
      <c r="B1057" t="s">
        <v>74</v>
      </c>
      <c r="C1057" s="51">
        <v>46297.938194444447</v>
      </c>
      <c r="D1057" s="51">
        <v>46296.527777777781</v>
      </c>
      <c r="E1057" t="s">
        <v>87</v>
      </c>
      <c r="F1057" t="s">
        <v>48</v>
      </c>
      <c r="G1057" t="s">
        <v>49</v>
      </c>
      <c r="H1057" t="s">
        <v>75</v>
      </c>
      <c r="I1057" t="s">
        <v>86</v>
      </c>
      <c r="J1057" t="s">
        <v>70</v>
      </c>
      <c r="K1057" t="s">
        <v>469</v>
      </c>
      <c r="L1057" t="s">
        <v>470</v>
      </c>
      <c r="M1057" t="s">
        <v>471</v>
      </c>
      <c r="N1057">
        <v>15705550</v>
      </c>
      <c r="O1057" t="s">
        <v>52</v>
      </c>
      <c r="P1057" t="s">
        <v>472</v>
      </c>
    </row>
    <row r="1058" spans="1:16" x14ac:dyDescent="0.3">
      <c r="A1058" t="s">
        <v>1384</v>
      </c>
      <c r="B1058" t="s">
        <v>74</v>
      </c>
      <c r="C1058" s="51">
        <v>46297.938194444447</v>
      </c>
      <c r="D1058" s="51">
        <v>46296.522222222222</v>
      </c>
      <c r="E1058" t="s">
        <v>87</v>
      </c>
      <c r="F1058" t="s">
        <v>48</v>
      </c>
      <c r="G1058" t="s">
        <v>49</v>
      </c>
      <c r="H1058" t="s">
        <v>75</v>
      </c>
      <c r="I1058" t="s">
        <v>86</v>
      </c>
      <c r="J1058" t="s">
        <v>70</v>
      </c>
      <c r="K1058" t="s">
        <v>469</v>
      </c>
      <c r="L1058" t="s">
        <v>470</v>
      </c>
      <c r="M1058" t="s">
        <v>471</v>
      </c>
      <c r="N1058">
        <v>15705044</v>
      </c>
      <c r="O1058" t="s">
        <v>52</v>
      </c>
      <c r="P1058" t="s">
        <v>472</v>
      </c>
    </row>
    <row r="1059" spans="1:16" x14ac:dyDescent="0.3">
      <c r="A1059" t="s">
        <v>1385</v>
      </c>
      <c r="B1059" t="s">
        <v>155</v>
      </c>
      <c r="C1059" s="51">
        <v>46297.9375</v>
      </c>
      <c r="D1059" s="51">
        <v>46296.522222222222</v>
      </c>
      <c r="E1059" t="s">
        <v>87</v>
      </c>
      <c r="F1059" t="s">
        <v>53</v>
      </c>
      <c r="G1059" t="s">
        <v>85</v>
      </c>
      <c r="H1059" t="s">
        <v>156</v>
      </c>
      <c r="I1059" t="s">
        <v>157</v>
      </c>
      <c r="J1059" t="s">
        <v>70</v>
      </c>
      <c r="K1059" t="s">
        <v>469</v>
      </c>
      <c r="L1059" t="s">
        <v>470</v>
      </c>
      <c r="M1059" t="s">
        <v>471</v>
      </c>
      <c r="N1059">
        <v>15704832</v>
      </c>
      <c r="O1059" t="s">
        <v>52</v>
      </c>
      <c r="P1059" t="s">
        <v>472</v>
      </c>
    </row>
    <row r="1060" spans="1:16" x14ac:dyDescent="0.3">
      <c r="A1060" t="s">
        <v>1386</v>
      </c>
      <c r="B1060" t="s">
        <v>47</v>
      </c>
      <c r="C1060" s="51">
        <v>46297.938194444447</v>
      </c>
      <c r="D1060" s="51">
        <v>46296.505555555559</v>
      </c>
      <c r="E1060" t="s">
        <v>87</v>
      </c>
      <c r="F1060" t="s">
        <v>48</v>
      </c>
      <c r="G1060" t="s">
        <v>49</v>
      </c>
      <c r="H1060" t="s">
        <v>50</v>
      </c>
      <c r="I1060" t="s">
        <v>66</v>
      </c>
      <c r="J1060" t="s">
        <v>51</v>
      </c>
      <c r="K1060" t="s">
        <v>469</v>
      </c>
      <c r="L1060" t="s">
        <v>470</v>
      </c>
      <c r="M1060" t="s">
        <v>471</v>
      </c>
      <c r="N1060">
        <v>15704814</v>
      </c>
      <c r="O1060" t="s">
        <v>52</v>
      </c>
      <c r="P1060" t="s">
        <v>472</v>
      </c>
    </row>
    <row r="1061" spans="1:16" x14ac:dyDescent="0.3">
      <c r="A1061" t="s">
        <v>1387</v>
      </c>
      <c r="B1061" t="s">
        <v>74</v>
      </c>
      <c r="C1061" s="51">
        <v>46297.9375</v>
      </c>
      <c r="D1061" s="51">
        <v>46296.494444444441</v>
      </c>
      <c r="E1061" t="s">
        <v>87</v>
      </c>
      <c r="F1061" t="s">
        <v>48</v>
      </c>
      <c r="G1061" t="s">
        <v>49</v>
      </c>
      <c r="H1061" t="s">
        <v>75</v>
      </c>
      <c r="I1061" t="s">
        <v>76</v>
      </c>
      <c r="J1061" t="s">
        <v>70</v>
      </c>
      <c r="K1061" t="s">
        <v>469</v>
      </c>
      <c r="L1061" t="s">
        <v>470</v>
      </c>
      <c r="M1061" t="s">
        <v>471</v>
      </c>
      <c r="N1061">
        <v>15704486</v>
      </c>
      <c r="O1061" t="s">
        <v>52</v>
      </c>
      <c r="P1061" t="s">
        <v>472</v>
      </c>
    </row>
    <row r="1062" spans="1:16" x14ac:dyDescent="0.3">
      <c r="A1062" t="s">
        <v>1388</v>
      </c>
      <c r="B1062" t="s">
        <v>118</v>
      </c>
      <c r="C1062" s="51">
        <v>46297.5</v>
      </c>
      <c r="D1062" s="51">
        <v>46296.472916666666</v>
      </c>
      <c r="E1062" t="s">
        <v>87</v>
      </c>
      <c r="F1062" t="s">
        <v>77</v>
      </c>
      <c r="G1062" t="s">
        <v>107</v>
      </c>
      <c r="H1062" t="s">
        <v>119</v>
      </c>
      <c r="I1062" t="s">
        <v>81</v>
      </c>
      <c r="J1062" t="s">
        <v>83</v>
      </c>
      <c r="K1062" t="s">
        <v>475</v>
      </c>
      <c r="L1062" t="s">
        <v>473</v>
      </c>
      <c r="M1062" t="s">
        <v>1389</v>
      </c>
      <c r="O1062" t="s">
        <v>56</v>
      </c>
      <c r="P1062" t="s">
        <v>474</v>
      </c>
    </row>
    <row r="1063" spans="1:16" x14ac:dyDescent="0.3">
      <c r="A1063" t="s">
        <v>1390</v>
      </c>
      <c r="B1063" t="s">
        <v>108</v>
      </c>
      <c r="C1063" s="51">
        <v>46297.5</v>
      </c>
      <c r="D1063" s="51">
        <v>46296.46597222222</v>
      </c>
      <c r="E1063" t="s">
        <v>87</v>
      </c>
      <c r="F1063" t="s">
        <v>77</v>
      </c>
      <c r="G1063" t="s">
        <v>107</v>
      </c>
      <c r="H1063" t="s">
        <v>109</v>
      </c>
      <c r="I1063" t="s">
        <v>122</v>
      </c>
      <c r="J1063" t="s">
        <v>123</v>
      </c>
      <c r="K1063" t="s">
        <v>475</v>
      </c>
      <c r="L1063" t="s">
        <v>473</v>
      </c>
      <c r="M1063" t="s">
        <v>478</v>
      </c>
      <c r="O1063" t="s">
        <v>503</v>
      </c>
      <c r="P1063" t="s">
        <v>474</v>
      </c>
    </row>
    <row r="1064" spans="1:16" x14ac:dyDescent="0.3">
      <c r="A1064" t="s">
        <v>1391</v>
      </c>
      <c r="B1064" t="s">
        <v>108</v>
      </c>
      <c r="C1064" s="51">
        <v>46297.458333333336</v>
      </c>
      <c r="D1064" s="51">
        <v>46296.45208333333</v>
      </c>
      <c r="E1064" t="s">
        <v>87</v>
      </c>
      <c r="F1064" t="s">
        <v>77</v>
      </c>
      <c r="G1064" t="s">
        <v>107</v>
      </c>
      <c r="H1064" t="s">
        <v>109</v>
      </c>
      <c r="I1064" t="s">
        <v>122</v>
      </c>
      <c r="J1064" t="s">
        <v>123</v>
      </c>
      <c r="K1064" t="s">
        <v>475</v>
      </c>
      <c r="L1064" t="s">
        <v>473</v>
      </c>
      <c r="M1064">
        <v>11111</v>
      </c>
      <c r="O1064" t="s">
        <v>56</v>
      </c>
      <c r="P1064" t="s">
        <v>474</v>
      </c>
    </row>
    <row r="1065" spans="1:16" x14ac:dyDescent="0.3">
      <c r="A1065" t="s">
        <v>1392</v>
      </c>
      <c r="B1065" t="s">
        <v>108</v>
      </c>
      <c r="C1065" s="51">
        <v>46297.458333333336</v>
      </c>
      <c r="D1065" s="51">
        <v>46296.449305555558</v>
      </c>
      <c r="E1065" t="s">
        <v>87</v>
      </c>
      <c r="F1065" t="s">
        <v>77</v>
      </c>
      <c r="G1065" t="s">
        <v>107</v>
      </c>
      <c r="H1065" t="s">
        <v>109</v>
      </c>
      <c r="I1065" t="s">
        <v>122</v>
      </c>
      <c r="J1065" t="s">
        <v>123</v>
      </c>
      <c r="K1065" t="s">
        <v>475</v>
      </c>
      <c r="L1065" t="s">
        <v>473</v>
      </c>
      <c r="M1065" t="s">
        <v>488</v>
      </c>
      <c r="O1065" t="s">
        <v>56</v>
      </c>
      <c r="P1065" t="s">
        <v>474</v>
      </c>
    </row>
    <row r="1066" spans="1:16" x14ac:dyDescent="0.3">
      <c r="A1066" t="s">
        <v>1393</v>
      </c>
      <c r="B1066" t="s">
        <v>108</v>
      </c>
      <c r="C1066" s="51">
        <v>46297.458333333336</v>
      </c>
      <c r="D1066" s="51">
        <v>46296.440972222219</v>
      </c>
      <c r="E1066" t="s">
        <v>87</v>
      </c>
      <c r="F1066" t="s">
        <v>77</v>
      </c>
      <c r="G1066" t="s">
        <v>107</v>
      </c>
      <c r="H1066" t="s">
        <v>109</v>
      </c>
      <c r="I1066" t="s">
        <v>122</v>
      </c>
      <c r="J1066" t="s">
        <v>123</v>
      </c>
      <c r="K1066" t="s">
        <v>475</v>
      </c>
      <c r="L1066" t="s">
        <v>473</v>
      </c>
      <c r="M1066" t="s">
        <v>1394</v>
      </c>
      <c r="O1066" t="s">
        <v>56</v>
      </c>
      <c r="P1066" t="s">
        <v>474</v>
      </c>
    </row>
    <row r="1067" spans="1:16" x14ac:dyDescent="0.3">
      <c r="A1067" t="s">
        <v>1395</v>
      </c>
      <c r="B1067" t="s">
        <v>124</v>
      </c>
      <c r="C1067" s="51">
        <v>46298.416666666664</v>
      </c>
      <c r="D1067" s="51">
        <v>46296.43472222222</v>
      </c>
      <c r="E1067" t="s">
        <v>87</v>
      </c>
      <c r="F1067" t="s">
        <v>77</v>
      </c>
      <c r="G1067" t="s">
        <v>107</v>
      </c>
      <c r="H1067" t="s">
        <v>125</v>
      </c>
      <c r="I1067" t="s">
        <v>122</v>
      </c>
      <c r="J1067" t="s">
        <v>126</v>
      </c>
      <c r="K1067" t="s">
        <v>475</v>
      </c>
      <c r="L1067" t="s">
        <v>473</v>
      </c>
      <c r="M1067" t="s">
        <v>488</v>
      </c>
      <c r="O1067" t="s">
        <v>503</v>
      </c>
      <c r="P1067" t="s">
        <v>474</v>
      </c>
    </row>
    <row r="1068" spans="1:16" x14ac:dyDescent="0.3">
      <c r="A1068" t="s">
        <v>1396</v>
      </c>
      <c r="B1068" t="s">
        <v>67</v>
      </c>
      <c r="C1068" s="51">
        <v>46297.9375</v>
      </c>
      <c r="D1068" s="51">
        <v>46296.427777777775</v>
      </c>
      <c r="E1068" t="s">
        <v>87</v>
      </c>
      <c r="F1068" t="s">
        <v>48</v>
      </c>
      <c r="G1068" t="s">
        <v>49</v>
      </c>
      <c r="H1068" t="s">
        <v>68</v>
      </c>
      <c r="I1068" t="s">
        <v>69</v>
      </c>
      <c r="J1068" t="s">
        <v>70</v>
      </c>
      <c r="K1068" t="s">
        <v>469</v>
      </c>
      <c r="L1068" t="s">
        <v>470</v>
      </c>
      <c r="M1068" t="s">
        <v>471</v>
      </c>
      <c r="N1068">
        <v>15704252</v>
      </c>
      <c r="O1068" t="s">
        <v>52</v>
      </c>
      <c r="P1068" t="s">
        <v>472</v>
      </c>
    </row>
    <row r="1069" spans="1:16" x14ac:dyDescent="0.3">
      <c r="A1069" t="s">
        <v>1397</v>
      </c>
      <c r="B1069" t="s">
        <v>67</v>
      </c>
      <c r="C1069" s="51">
        <v>46297.9375</v>
      </c>
      <c r="D1069" s="51">
        <v>46296.427083333336</v>
      </c>
      <c r="E1069" t="s">
        <v>87</v>
      </c>
      <c r="F1069" t="s">
        <v>48</v>
      </c>
      <c r="G1069" t="s">
        <v>49</v>
      </c>
      <c r="H1069" t="s">
        <v>68</v>
      </c>
      <c r="I1069" t="s">
        <v>69</v>
      </c>
      <c r="J1069" t="s">
        <v>70</v>
      </c>
      <c r="K1069" t="s">
        <v>469</v>
      </c>
      <c r="L1069" t="s">
        <v>470</v>
      </c>
      <c r="M1069" t="s">
        <v>471</v>
      </c>
      <c r="N1069">
        <v>15704106</v>
      </c>
      <c r="O1069" t="s">
        <v>52</v>
      </c>
      <c r="P1069" t="s">
        <v>472</v>
      </c>
    </row>
    <row r="1070" spans="1:16" x14ac:dyDescent="0.3">
      <c r="A1070" t="s">
        <v>1398</v>
      </c>
      <c r="B1070" t="s">
        <v>108</v>
      </c>
      <c r="C1070" s="51">
        <v>46297.458333333336</v>
      </c>
      <c r="D1070" s="51">
        <v>46296.42083333333</v>
      </c>
      <c r="E1070" t="s">
        <v>87</v>
      </c>
      <c r="F1070" t="s">
        <v>77</v>
      </c>
      <c r="G1070" t="s">
        <v>107</v>
      </c>
      <c r="H1070" t="s">
        <v>109</v>
      </c>
      <c r="I1070" t="s">
        <v>122</v>
      </c>
      <c r="J1070" t="s">
        <v>123</v>
      </c>
      <c r="K1070" t="s">
        <v>475</v>
      </c>
      <c r="L1070" t="s">
        <v>473</v>
      </c>
      <c r="M1070" t="s">
        <v>477</v>
      </c>
      <c r="O1070" t="s">
        <v>56</v>
      </c>
      <c r="P1070" t="s">
        <v>474</v>
      </c>
    </row>
    <row r="1071" spans="1:16" x14ac:dyDescent="0.3">
      <c r="A1071" t="s">
        <v>1399</v>
      </c>
      <c r="B1071" t="s">
        <v>124</v>
      </c>
      <c r="C1071" s="51">
        <v>46297.416666666664</v>
      </c>
      <c r="D1071" s="51">
        <v>46296.390277777777</v>
      </c>
      <c r="E1071" t="s">
        <v>87</v>
      </c>
      <c r="F1071" t="s">
        <v>77</v>
      </c>
      <c r="G1071" t="s">
        <v>107</v>
      </c>
      <c r="H1071" t="s">
        <v>125</v>
      </c>
      <c r="I1071" t="s">
        <v>122</v>
      </c>
      <c r="J1071" t="s">
        <v>126</v>
      </c>
      <c r="K1071" t="s">
        <v>475</v>
      </c>
      <c r="L1071" t="s">
        <v>473</v>
      </c>
      <c r="M1071" t="s">
        <v>1400</v>
      </c>
      <c r="O1071" t="s">
        <v>503</v>
      </c>
      <c r="P1071" t="s">
        <v>474</v>
      </c>
    </row>
    <row r="1072" spans="1:16" x14ac:dyDescent="0.3">
      <c r="A1072" t="s">
        <v>1401</v>
      </c>
      <c r="B1072" t="s">
        <v>108</v>
      </c>
      <c r="C1072" s="51">
        <v>46297.416666666664</v>
      </c>
      <c r="D1072" s="51">
        <v>46296.386111111111</v>
      </c>
      <c r="E1072" t="s">
        <v>87</v>
      </c>
      <c r="F1072" t="s">
        <v>77</v>
      </c>
      <c r="G1072" t="s">
        <v>107</v>
      </c>
      <c r="H1072" t="s">
        <v>109</v>
      </c>
      <c r="I1072" t="s">
        <v>122</v>
      </c>
      <c r="J1072" t="s">
        <v>123</v>
      </c>
      <c r="K1072" t="s">
        <v>475</v>
      </c>
      <c r="L1072" t="s">
        <v>473</v>
      </c>
      <c r="M1072" t="s">
        <v>1402</v>
      </c>
      <c r="O1072" t="s">
        <v>56</v>
      </c>
      <c r="P1072" t="s">
        <v>474</v>
      </c>
    </row>
    <row r="1073" spans="1:16" x14ac:dyDescent="0.3">
      <c r="A1073" t="s">
        <v>1403</v>
      </c>
      <c r="B1073" t="s">
        <v>47</v>
      </c>
      <c r="C1073" s="51">
        <v>46297.9375</v>
      </c>
      <c r="D1073" s="51">
        <v>46296.375694444447</v>
      </c>
      <c r="E1073" t="s">
        <v>87</v>
      </c>
      <c r="F1073" t="s">
        <v>48</v>
      </c>
      <c r="G1073" t="s">
        <v>49</v>
      </c>
      <c r="H1073" t="s">
        <v>50</v>
      </c>
      <c r="I1073" t="s">
        <v>66</v>
      </c>
      <c r="J1073" t="s">
        <v>51</v>
      </c>
      <c r="K1073" t="s">
        <v>469</v>
      </c>
      <c r="L1073" t="s">
        <v>470</v>
      </c>
      <c r="M1073" t="s">
        <v>471</v>
      </c>
      <c r="N1073">
        <v>15704458</v>
      </c>
      <c r="O1073" t="s">
        <v>52</v>
      </c>
      <c r="P1073" t="s">
        <v>472</v>
      </c>
    </row>
    <row r="1074" spans="1:16" x14ac:dyDescent="0.3">
      <c r="A1074" t="s">
        <v>1404</v>
      </c>
      <c r="B1074" t="s">
        <v>124</v>
      </c>
      <c r="C1074" s="51">
        <v>46297.375</v>
      </c>
      <c r="D1074" s="51">
        <v>46296.371527777781</v>
      </c>
      <c r="E1074" t="s">
        <v>87</v>
      </c>
      <c r="F1074" t="s">
        <v>77</v>
      </c>
      <c r="G1074" t="s">
        <v>107</v>
      </c>
      <c r="H1074" t="s">
        <v>125</v>
      </c>
      <c r="I1074" t="s">
        <v>122</v>
      </c>
      <c r="J1074" t="s">
        <v>126</v>
      </c>
      <c r="K1074" t="s">
        <v>475</v>
      </c>
      <c r="L1074" t="s">
        <v>473</v>
      </c>
      <c r="M1074" t="s">
        <v>490</v>
      </c>
      <c r="O1074" t="s">
        <v>503</v>
      </c>
      <c r="P1074" t="s">
        <v>474</v>
      </c>
    </row>
    <row r="1075" spans="1:16" x14ac:dyDescent="0.3">
      <c r="A1075" t="s">
        <v>1405</v>
      </c>
      <c r="B1075" t="s">
        <v>67</v>
      </c>
      <c r="C1075" s="51">
        <v>46297.938194444447</v>
      </c>
      <c r="D1075" s="51">
        <v>46296.352777777778</v>
      </c>
      <c r="E1075" t="s">
        <v>87</v>
      </c>
      <c r="F1075" t="s">
        <v>48</v>
      </c>
      <c r="G1075" t="s">
        <v>49</v>
      </c>
      <c r="H1075" t="s">
        <v>68</v>
      </c>
      <c r="I1075" t="s">
        <v>69</v>
      </c>
      <c r="J1075" t="s">
        <v>70</v>
      </c>
      <c r="K1075" t="s">
        <v>469</v>
      </c>
      <c r="L1075" t="s">
        <v>470</v>
      </c>
      <c r="M1075" t="s">
        <v>471</v>
      </c>
      <c r="N1075">
        <v>15704052</v>
      </c>
      <c r="O1075" t="s">
        <v>52</v>
      </c>
      <c r="P1075" t="s">
        <v>472</v>
      </c>
    </row>
    <row r="1076" spans="1:16" x14ac:dyDescent="0.3">
      <c r="A1076" t="s">
        <v>1406</v>
      </c>
      <c r="B1076" t="s">
        <v>118</v>
      </c>
      <c r="C1076" s="51">
        <v>46297.375</v>
      </c>
      <c r="D1076" s="51">
        <v>46296.350694444445</v>
      </c>
      <c r="E1076" t="s">
        <v>87</v>
      </c>
      <c r="F1076" t="s">
        <v>77</v>
      </c>
      <c r="G1076" t="s">
        <v>107</v>
      </c>
      <c r="H1076" t="s">
        <v>119</v>
      </c>
      <c r="I1076" t="s">
        <v>127</v>
      </c>
      <c r="J1076" t="s">
        <v>128</v>
      </c>
      <c r="K1076" t="s">
        <v>475</v>
      </c>
      <c r="L1076" t="s">
        <v>473</v>
      </c>
      <c r="M1076" t="s">
        <v>1407</v>
      </c>
      <c r="O1076" t="s">
        <v>503</v>
      </c>
      <c r="P1076" t="s">
        <v>474</v>
      </c>
    </row>
    <row r="1077" spans="1:16" x14ac:dyDescent="0.3">
      <c r="A1077" t="s">
        <v>1408</v>
      </c>
      <c r="B1077" t="s">
        <v>57</v>
      </c>
      <c r="C1077" s="51">
        <v>46297.375</v>
      </c>
      <c r="D1077" s="51">
        <v>46296.343055555553</v>
      </c>
      <c r="E1077" t="s">
        <v>87</v>
      </c>
      <c r="F1077" t="s">
        <v>58</v>
      </c>
      <c r="G1077" t="s">
        <v>59</v>
      </c>
      <c r="H1077" t="s">
        <v>60</v>
      </c>
      <c r="I1077" t="s">
        <v>61</v>
      </c>
      <c r="J1077" t="s">
        <v>55</v>
      </c>
      <c r="K1077" t="s">
        <v>486</v>
      </c>
      <c r="L1077" t="s">
        <v>473</v>
      </c>
      <c r="M1077" t="s">
        <v>476</v>
      </c>
      <c r="O1077" t="s">
        <v>56</v>
      </c>
      <c r="P1077" t="s">
        <v>474</v>
      </c>
    </row>
    <row r="1078" spans="1:16" x14ac:dyDescent="0.3">
      <c r="A1078" t="s">
        <v>1409</v>
      </c>
      <c r="B1078" t="s">
        <v>118</v>
      </c>
      <c r="C1078" s="51">
        <v>46297.375</v>
      </c>
      <c r="D1078" s="51">
        <v>46296.342361111114</v>
      </c>
      <c r="E1078" t="s">
        <v>87</v>
      </c>
      <c r="F1078" t="s">
        <v>77</v>
      </c>
      <c r="G1078" t="s">
        <v>107</v>
      </c>
      <c r="H1078" t="s">
        <v>119</v>
      </c>
      <c r="I1078" t="s">
        <v>81</v>
      </c>
      <c r="J1078" t="s">
        <v>83</v>
      </c>
      <c r="K1078" t="s">
        <v>475</v>
      </c>
      <c r="L1078" t="s">
        <v>473</v>
      </c>
      <c r="M1078" t="s">
        <v>495</v>
      </c>
      <c r="O1078" t="s">
        <v>503</v>
      </c>
      <c r="P1078" t="s">
        <v>474</v>
      </c>
    </row>
    <row r="1079" spans="1:16" x14ac:dyDescent="0.3">
      <c r="A1079" t="s">
        <v>1410</v>
      </c>
      <c r="B1079" t="s">
        <v>124</v>
      </c>
      <c r="C1079" s="51">
        <v>46297.333333333336</v>
      </c>
      <c r="D1079" s="51">
        <v>46296.323611111111</v>
      </c>
      <c r="E1079" t="s">
        <v>87</v>
      </c>
      <c r="F1079" t="s">
        <v>77</v>
      </c>
      <c r="G1079" t="s">
        <v>107</v>
      </c>
      <c r="H1079" t="s">
        <v>125</v>
      </c>
      <c r="I1079" t="s">
        <v>122</v>
      </c>
      <c r="J1079" t="s">
        <v>126</v>
      </c>
      <c r="K1079" t="s">
        <v>475</v>
      </c>
      <c r="L1079" t="s">
        <v>473</v>
      </c>
      <c r="M1079" t="s">
        <v>1407</v>
      </c>
      <c r="O1079" t="s">
        <v>56</v>
      </c>
      <c r="P1079" t="s">
        <v>474</v>
      </c>
    </row>
    <row r="1080" spans="1:16" x14ac:dyDescent="0.3">
      <c r="A1080" t="s">
        <v>1411</v>
      </c>
      <c r="B1080" t="s">
        <v>79</v>
      </c>
      <c r="C1080" s="51">
        <v>46297.208333333336</v>
      </c>
      <c r="D1080" s="51">
        <v>46296.176388888889</v>
      </c>
      <c r="E1080" t="s">
        <v>87</v>
      </c>
      <c r="F1080" t="s">
        <v>77</v>
      </c>
      <c r="G1080" t="s">
        <v>78</v>
      </c>
      <c r="H1080" t="s">
        <v>80</v>
      </c>
      <c r="I1080" t="s">
        <v>81</v>
      </c>
      <c r="J1080" t="s">
        <v>55</v>
      </c>
      <c r="K1080" t="s">
        <v>482</v>
      </c>
      <c r="L1080" t="s">
        <v>473</v>
      </c>
      <c r="M1080">
        <v>111111</v>
      </c>
      <c r="O1080" t="s">
        <v>503</v>
      </c>
      <c r="P1080" t="s">
        <v>474</v>
      </c>
    </row>
    <row r="1081" spans="1:16" x14ac:dyDescent="0.3">
      <c r="A1081" t="s">
        <v>529</v>
      </c>
      <c r="B1081" t="s">
        <v>67</v>
      </c>
      <c r="C1081" s="51">
        <v>46297.708333333336</v>
      </c>
      <c r="D1081" s="51">
        <v>46296.039583333331</v>
      </c>
      <c r="E1081" t="s">
        <v>87</v>
      </c>
      <c r="F1081" t="s">
        <v>48</v>
      </c>
      <c r="G1081" t="s">
        <v>49</v>
      </c>
      <c r="H1081" t="s">
        <v>68</v>
      </c>
      <c r="I1081" t="s">
        <v>69</v>
      </c>
      <c r="J1081" t="s">
        <v>70</v>
      </c>
      <c r="K1081" t="s">
        <v>469</v>
      </c>
      <c r="L1081" t="s">
        <v>470</v>
      </c>
      <c r="M1081" t="s">
        <v>471</v>
      </c>
      <c r="O1081" t="s">
        <v>52</v>
      </c>
      <c r="P1081" t="s">
        <v>472</v>
      </c>
    </row>
    <row r="1082" spans="1:16" x14ac:dyDescent="0.3">
      <c r="A1082" t="s">
        <v>530</v>
      </c>
      <c r="B1082" t="s">
        <v>161</v>
      </c>
      <c r="C1082" s="51">
        <v>46297.291666666664</v>
      </c>
      <c r="D1082" s="51">
        <v>46296.02847222222</v>
      </c>
      <c r="E1082" t="s">
        <v>87</v>
      </c>
      <c r="F1082" t="s">
        <v>77</v>
      </c>
      <c r="G1082" t="s">
        <v>162</v>
      </c>
      <c r="H1082" t="s">
        <v>163</v>
      </c>
      <c r="I1082" t="s">
        <v>164</v>
      </c>
      <c r="J1082" t="s">
        <v>83</v>
      </c>
      <c r="K1082" t="s">
        <v>511</v>
      </c>
      <c r="L1082" t="s">
        <v>473</v>
      </c>
      <c r="M1082" t="s">
        <v>531</v>
      </c>
      <c r="O1082" t="s">
        <v>503</v>
      </c>
      <c r="P1082" t="s">
        <v>474</v>
      </c>
    </row>
  </sheetData>
  <autoFilter ref="A1:P1082" xr:uid="{1217E61C-07B3-4BE0-A93D-54C447B02CA7}"/>
  <phoneticPr fontId="13" type="noConversion"/>
  <pageMargins left="0.7" right="0.7" top="0.75" bottom="0.75" header="0.3" footer="0.3"/>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F1B38CB-7357-4B23-AF22-69629AAB7AA0}">
  <dimension ref="A1:T311"/>
  <sheetViews>
    <sheetView topLeftCell="A296" workbookViewId="0">
      <selection activeCell="D320" sqref="D320"/>
    </sheetView>
  </sheetViews>
  <sheetFormatPr defaultRowHeight="15.05" x14ac:dyDescent="0.3"/>
  <sheetData>
    <row r="1" spans="1:20" x14ac:dyDescent="0.3">
      <c r="A1" t="s">
        <v>178</v>
      </c>
      <c r="B1" t="s">
        <v>45</v>
      </c>
      <c r="C1" t="s">
        <v>39</v>
      </c>
      <c r="D1" t="s">
        <v>179</v>
      </c>
      <c r="E1" t="s">
        <v>38</v>
      </c>
      <c r="F1" t="s">
        <v>87</v>
      </c>
      <c r="G1" t="s">
        <v>180</v>
      </c>
      <c r="H1" t="s">
        <v>181</v>
      </c>
      <c r="I1" t="s">
        <v>182</v>
      </c>
      <c r="J1" t="s">
        <v>183</v>
      </c>
      <c r="K1" t="s">
        <v>184</v>
      </c>
      <c r="L1" t="s">
        <v>185</v>
      </c>
      <c r="M1" t="s">
        <v>186</v>
      </c>
      <c r="N1" t="s">
        <v>187</v>
      </c>
      <c r="O1" t="s">
        <v>188</v>
      </c>
      <c r="P1" t="s">
        <v>189</v>
      </c>
      <c r="Q1" t="s">
        <v>190</v>
      </c>
      <c r="R1" t="s">
        <v>191</v>
      </c>
      <c r="S1" t="s">
        <v>192</v>
      </c>
      <c r="T1" t="s">
        <v>193</v>
      </c>
    </row>
    <row r="2" spans="1:20" x14ac:dyDescent="0.3">
      <c r="A2">
        <v>15780194</v>
      </c>
      <c r="B2" t="s">
        <v>194</v>
      </c>
      <c r="C2" s="51">
        <v>46306.426388888889</v>
      </c>
      <c r="E2" t="s">
        <v>205</v>
      </c>
      <c r="F2" t="s">
        <v>196</v>
      </c>
      <c r="G2" t="s">
        <v>197</v>
      </c>
      <c r="H2" t="s">
        <v>1412</v>
      </c>
      <c r="K2" t="s">
        <v>586</v>
      </c>
      <c r="L2" t="s">
        <v>199</v>
      </c>
      <c r="Q2" t="s">
        <v>206</v>
      </c>
      <c r="R2" t="s">
        <v>207</v>
      </c>
      <c r="S2" t="s">
        <v>1413</v>
      </c>
      <c r="T2" t="s">
        <v>1413</v>
      </c>
    </row>
    <row r="3" spans="1:20" x14ac:dyDescent="0.3">
      <c r="A3">
        <v>15769810</v>
      </c>
      <c r="B3" t="s">
        <v>1414</v>
      </c>
      <c r="C3" s="51">
        <v>46304.754861111112</v>
      </c>
      <c r="E3" t="s">
        <v>1415</v>
      </c>
      <c r="F3" t="s">
        <v>196</v>
      </c>
      <c r="G3" t="s">
        <v>197</v>
      </c>
      <c r="H3" t="s">
        <v>1416</v>
      </c>
      <c r="K3" t="s">
        <v>1417</v>
      </c>
      <c r="L3" t="s">
        <v>1418</v>
      </c>
    </row>
    <row r="4" spans="1:20" x14ac:dyDescent="0.3">
      <c r="A4">
        <v>15768416</v>
      </c>
      <c r="B4" t="s">
        <v>194</v>
      </c>
      <c r="C4" s="51">
        <v>46304.630555555559</v>
      </c>
      <c r="E4" t="s">
        <v>201</v>
      </c>
      <c r="F4" t="s">
        <v>196</v>
      </c>
      <c r="G4" t="s">
        <v>197</v>
      </c>
      <c r="H4" t="s">
        <v>1419</v>
      </c>
      <c r="K4" t="s">
        <v>198</v>
      </c>
      <c r="L4" t="s">
        <v>199</v>
      </c>
      <c r="Q4" t="s">
        <v>273</v>
      </c>
      <c r="R4" t="s">
        <v>274</v>
      </c>
      <c r="S4" t="s">
        <v>619</v>
      </c>
      <c r="T4" t="s">
        <v>619</v>
      </c>
    </row>
    <row r="5" spans="1:20" x14ac:dyDescent="0.3">
      <c r="A5">
        <v>15768260</v>
      </c>
      <c r="B5" t="s">
        <v>194</v>
      </c>
      <c r="C5" s="51">
        <v>46304.620833333334</v>
      </c>
      <c r="E5" t="s">
        <v>195</v>
      </c>
      <c r="F5" t="s">
        <v>196</v>
      </c>
      <c r="G5" t="s">
        <v>197</v>
      </c>
      <c r="H5" t="s">
        <v>1420</v>
      </c>
      <c r="K5" t="s">
        <v>198</v>
      </c>
      <c r="L5" t="s">
        <v>199</v>
      </c>
      <c r="Q5" t="s">
        <v>228</v>
      </c>
      <c r="R5" t="s">
        <v>229</v>
      </c>
      <c r="S5" t="s">
        <v>403</v>
      </c>
      <c r="T5" t="s">
        <v>403</v>
      </c>
    </row>
    <row r="6" spans="1:20" x14ac:dyDescent="0.3">
      <c r="A6">
        <v>15768224</v>
      </c>
      <c r="B6" t="s">
        <v>194</v>
      </c>
      <c r="C6" s="51">
        <v>46304.615277777775</v>
      </c>
      <c r="E6" t="s">
        <v>195</v>
      </c>
      <c r="F6" t="s">
        <v>196</v>
      </c>
      <c r="G6" t="s">
        <v>197</v>
      </c>
      <c r="H6" t="s">
        <v>1421</v>
      </c>
      <c r="K6" t="s">
        <v>198</v>
      </c>
      <c r="L6" t="s">
        <v>199</v>
      </c>
      <c r="Q6" t="s">
        <v>216</v>
      </c>
      <c r="R6" t="s">
        <v>217</v>
      </c>
      <c r="S6" t="s">
        <v>563</v>
      </c>
      <c r="T6" t="s">
        <v>563</v>
      </c>
    </row>
    <row r="7" spans="1:20" x14ac:dyDescent="0.3">
      <c r="A7">
        <v>15768200</v>
      </c>
      <c r="B7" t="s">
        <v>194</v>
      </c>
      <c r="C7" s="51">
        <v>46304.60833333333</v>
      </c>
      <c r="E7" t="s">
        <v>195</v>
      </c>
      <c r="F7" t="s">
        <v>196</v>
      </c>
      <c r="G7" t="s">
        <v>197</v>
      </c>
      <c r="H7" t="s">
        <v>1422</v>
      </c>
      <c r="K7" t="s">
        <v>198</v>
      </c>
      <c r="L7" t="s">
        <v>199</v>
      </c>
      <c r="Q7" t="s">
        <v>342</v>
      </c>
      <c r="R7" t="s">
        <v>343</v>
      </c>
      <c r="S7" t="s">
        <v>426</v>
      </c>
      <c r="T7" t="s">
        <v>426</v>
      </c>
    </row>
    <row r="8" spans="1:20" x14ac:dyDescent="0.3">
      <c r="A8">
        <v>15768030</v>
      </c>
      <c r="B8" t="s">
        <v>194</v>
      </c>
      <c r="C8" s="51">
        <v>46304.600694444445</v>
      </c>
      <c r="E8" t="s">
        <v>195</v>
      </c>
      <c r="F8" t="s">
        <v>196</v>
      </c>
      <c r="G8" t="s">
        <v>197</v>
      </c>
      <c r="H8" t="s">
        <v>1423</v>
      </c>
      <c r="K8" t="s">
        <v>198</v>
      </c>
      <c r="L8" t="s">
        <v>199</v>
      </c>
      <c r="Q8" t="s">
        <v>332</v>
      </c>
      <c r="R8" t="s">
        <v>365</v>
      </c>
      <c r="S8" t="s">
        <v>1424</v>
      </c>
      <c r="T8" t="s">
        <v>1424</v>
      </c>
    </row>
    <row r="9" spans="1:20" x14ac:dyDescent="0.3">
      <c r="A9">
        <v>15768022</v>
      </c>
      <c r="B9" t="s">
        <v>194</v>
      </c>
      <c r="C9" s="51">
        <v>46304.593055555553</v>
      </c>
      <c r="E9" t="s">
        <v>213</v>
      </c>
      <c r="F9" t="s">
        <v>196</v>
      </c>
      <c r="G9" t="s">
        <v>197</v>
      </c>
      <c r="H9" t="s">
        <v>1425</v>
      </c>
      <c r="K9" t="s">
        <v>198</v>
      </c>
      <c r="L9" t="s">
        <v>199</v>
      </c>
      <c r="Q9" t="s">
        <v>332</v>
      </c>
      <c r="R9" t="s">
        <v>365</v>
      </c>
      <c r="S9" t="s">
        <v>1424</v>
      </c>
      <c r="T9" t="s">
        <v>1424</v>
      </c>
    </row>
    <row r="10" spans="1:20" x14ac:dyDescent="0.3">
      <c r="A10">
        <v>15767880</v>
      </c>
      <c r="B10" t="s">
        <v>194</v>
      </c>
      <c r="C10" s="51">
        <v>46304.584027777775</v>
      </c>
      <c r="E10" t="s">
        <v>195</v>
      </c>
      <c r="F10" t="s">
        <v>196</v>
      </c>
      <c r="G10" t="s">
        <v>197</v>
      </c>
      <c r="H10" t="s">
        <v>1426</v>
      </c>
      <c r="K10" t="s">
        <v>198</v>
      </c>
      <c r="L10" t="s">
        <v>199</v>
      </c>
      <c r="Q10" t="s">
        <v>332</v>
      </c>
      <c r="R10" t="s">
        <v>365</v>
      </c>
      <c r="S10" t="s">
        <v>1424</v>
      </c>
      <c r="T10" t="s">
        <v>1424</v>
      </c>
    </row>
    <row r="11" spans="1:20" x14ac:dyDescent="0.3">
      <c r="A11">
        <v>15767852</v>
      </c>
      <c r="B11" t="s">
        <v>194</v>
      </c>
      <c r="C11" s="51">
        <v>46304.580555555556</v>
      </c>
      <c r="E11" t="s">
        <v>213</v>
      </c>
      <c r="F11" t="s">
        <v>196</v>
      </c>
      <c r="G11" t="s">
        <v>197</v>
      </c>
      <c r="H11" t="s">
        <v>1427</v>
      </c>
      <c r="K11" t="s">
        <v>198</v>
      </c>
      <c r="L11" t="s">
        <v>199</v>
      </c>
      <c r="Q11" t="s">
        <v>332</v>
      </c>
      <c r="R11" t="s">
        <v>365</v>
      </c>
      <c r="S11" t="s">
        <v>1424</v>
      </c>
      <c r="T11" t="s">
        <v>1424</v>
      </c>
    </row>
    <row r="12" spans="1:20" x14ac:dyDescent="0.3">
      <c r="A12">
        <v>15767792</v>
      </c>
      <c r="B12" t="s">
        <v>194</v>
      </c>
      <c r="C12" s="51">
        <v>46304.563888888886</v>
      </c>
      <c r="E12" t="s">
        <v>195</v>
      </c>
      <c r="F12" t="s">
        <v>196</v>
      </c>
      <c r="G12" t="s">
        <v>197</v>
      </c>
      <c r="H12" t="s">
        <v>1428</v>
      </c>
      <c r="K12" t="s">
        <v>198</v>
      </c>
      <c r="L12" t="s">
        <v>199</v>
      </c>
      <c r="Q12" t="s">
        <v>597</v>
      </c>
      <c r="R12" t="s">
        <v>598</v>
      </c>
      <c r="S12" t="s">
        <v>1429</v>
      </c>
      <c r="T12" t="s">
        <v>1429</v>
      </c>
    </row>
    <row r="13" spans="1:20" x14ac:dyDescent="0.3">
      <c r="A13">
        <v>15767656</v>
      </c>
      <c r="B13" t="s">
        <v>194</v>
      </c>
      <c r="C13" s="51">
        <v>46304.556944444441</v>
      </c>
      <c r="E13" t="s">
        <v>195</v>
      </c>
      <c r="F13" t="s">
        <v>196</v>
      </c>
      <c r="G13" t="s">
        <v>197</v>
      </c>
      <c r="H13" t="s">
        <v>1430</v>
      </c>
      <c r="K13" t="s">
        <v>198</v>
      </c>
      <c r="L13" t="s">
        <v>199</v>
      </c>
      <c r="Q13" t="s">
        <v>288</v>
      </c>
      <c r="R13" t="s">
        <v>289</v>
      </c>
      <c r="S13" t="s">
        <v>588</v>
      </c>
      <c r="T13" t="s">
        <v>588</v>
      </c>
    </row>
    <row r="14" spans="1:20" x14ac:dyDescent="0.3">
      <c r="A14">
        <v>15765796</v>
      </c>
      <c r="B14" t="s">
        <v>194</v>
      </c>
      <c r="C14" s="51">
        <v>46304.35833333333</v>
      </c>
      <c r="E14" t="s">
        <v>195</v>
      </c>
      <c r="F14" t="s">
        <v>196</v>
      </c>
      <c r="G14" t="s">
        <v>197</v>
      </c>
      <c r="H14" t="s">
        <v>1431</v>
      </c>
      <c r="K14" t="s">
        <v>198</v>
      </c>
      <c r="L14" t="s">
        <v>199</v>
      </c>
      <c r="Q14" t="s">
        <v>211</v>
      </c>
      <c r="R14" t="s">
        <v>212</v>
      </c>
      <c r="S14" t="s">
        <v>362</v>
      </c>
      <c r="T14" t="s">
        <v>362</v>
      </c>
    </row>
    <row r="15" spans="1:20" x14ac:dyDescent="0.3">
      <c r="A15">
        <v>15765412</v>
      </c>
      <c r="B15" t="s">
        <v>194</v>
      </c>
      <c r="C15" s="51">
        <v>46304.332638888889</v>
      </c>
      <c r="E15" t="s">
        <v>195</v>
      </c>
      <c r="F15" t="s">
        <v>196</v>
      </c>
      <c r="G15" t="s">
        <v>197</v>
      </c>
      <c r="H15" t="s">
        <v>1432</v>
      </c>
      <c r="K15" t="s">
        <v>198</v>
      </c>
      <c r="L15" t="s">
        <v>199</v>
      </c>
      <c r="Q15" t="s">
        <v>394</v>
      </c>
      <c r="R15" t="s">
        <v>395</v>
      </c>
      <c r="S15" t="s">
        <v>393</v>
      </c>
      <c r="T15" t="s">
        <v>393</v>
      </c>
    </row>
    <row r="16" spans="1:20" x14ac:dyDescent="0.3">
      <c r="A16">
        <v>15765398</v>
      </c>
      <c r="B16" t="s">
        <v>194</v>
      </c>
      <c r="C16" s="51">
        <v>46304.32708333333</v>
      </c>
      <c r="E16" t="s">
        <v>201</v>
      </c>
      <c r="F16" t="s">
        <v>196</v>
      </c>
      <c r="G16" t="s">
        <v>197</v>
      </c>
      <c r="H16" t="s">
        <v>1433</v>
      </c>
      <c r="K16" t="s">
        <v>198</v>
      </c>
      <c r="L16" t="s">
        <v>199</v>
      </c>
      <c r="Q16" t="s">
        <v>247</v>
      </c>
      <c r="R16" t="s">
        <v>350</v>
      </c>
      <c r="S16" t="s">
        <v>1434</v>
      </c>
      <c r="T16" t="s">
        <v>1434</v>
      </c>
    </row>
    <row r="17" spans="1:20" x14ac:dyDescent="0.3">
      <c r="A17">
        <v>15765396</v>
      </c>
      <c r="C17" s="51">
        <v>46304.319444444445</v>
      </c>
      <c r="E17" t="s">
        <v>208</v>
      </c>
      <c r="F17" t="s">
        <v>196</v>
      </c>
      <c r="G17" t="s">
        <v>197</v>
      </c>
      <c r="H17" t="s">
        <v>1435</v>
      </c>
      <c r="K17" t="s">
        <v>198</v>
      </c>
      <c r="L17" t="s">
        <v>209</v>
      </c>
      <c r="Q17" t="s">
        <v>254</v>
      </c>
      <c r="R17" t="s">
        <v>593</v>
      </c>
      <c r="S17" t="s">
        <v>1436</v>
      </c>
      <c r="T17" t="s">
        <v>1436</v>
      </c>
    </row>
    <row r="18" spans="1:20" x14ac:dyDescent="0.3">
      <c r="A18">
        <v>15765394</v>
      </c>
      <c r="C18" s="51">
        <v>46304.317361111112</v>
      </c>
      <c r="E18" t="s">
        <v>208</v>
      </c>
      <c r="F18" t="s">
        <v>196</v>
      </c>
      <c r="G18" t="s">
        <v>197</v>
      </c>
      <c r="H18" t="s">
        <v>1437</v>
      </c>
      <c r="K18" t="s">
        <v>198</v>
      </c>
      <c r="L18" t="s">
        <v>209</v>
      </c>
      <c r="Q18" t="s">
        <v>254</v>
      </c>
      <c r="R18" t="s">
        <v>593</v>
      </c>
      <c r="S18" t="s">
        <v>1436</v>
      </c>
      <c r="T18" t="s">
        <v>1436</v>
      </c>
    </row>
    <row r="19" spans="1:20" x14ac:dyDescent="0.3">
      <c r="A19">
        <v>15765392</v>
      </c>
      <c r="C19" s="51">
        <v>46304.314583333333</v>
      </c>
      <c r="E19" t="s">
        <v>208</v>
      </c>
      <c r="F19" t="s">
        <v>196</v>
      </c>
      <c r="G19" t="s">
        <v>197</v>
      </c>
      <c r="H19" t="s">
        <v>1438</v>
      </c>
      <c r="K19" t="s">
        <v>198</v>
      </c>
      <c r="L19" t="s">
        <v>209</v>
      </c>
      <c r="Q19" t="s">
        <v>254</v>
      </c>
      <c r="R19" t="s">
        <v>593</v>
      </c>
      <c r="S19" t="s">
        <v>1436</v>
      </c>
      <c r="T19" t="s">
        <v>1436</v>
      </c>
    </row>
    <row r="20" spans="1:20" x14ac:dyDescent="0.3">
      <c r="A20">
        <v>15765214</v>
      </c>
      <c r="C20" s="51">
        <v>46304.311111111114</v>
      </c>
      <c r="E20" t="s">
        <v>208</v>
      </c>
      <c r="F20" t="s">
        <v>196</v>
      </c>
      <c r="G20" t="s">
        <v>197</v>
      </c>
      <c r="H20" t="s">
        <v>1439</v>
      </c>
      <c r="K20" t="s">
        <v>198</v>
      </c>
      <c r="L20" t="s">
        <v>209</v>
      </c>
      <c r="Q20" t="s">
        <v>254</v>
      </c>
      <c r="R20" t="s">
        <v>593</v>
      </c>
      <c r="S20" t="s">
        <v>1436</v>
      </c>
      <c r="T20" t="s">
        <v>1436</v>
      </c>
    </row>
    <row r="21" spans="1:20" x14ac:dyDescent="0.3">
      <c r="A21">
        <v>15765208</v>
      </c>
      <c r="C21" s="51">
        <v>46304.307638888888</v>
      </c>
      <c r="E21" t="s">
        <v>208</v>
      </c>
      <c r="F21" t="s">
        <v>196</v>
      </c>
      <c r="G21" t="s">
        <v>197</v>
      </c>
      <c r="H21" t="s">
        <v>1440</v>
      </c>
      <c r="K21" t="s">
        <v>198</v>
      </c>
      <c r="L21" t="s">
        <v>209</v>
      </c>
      <c r="Q21" t="s">
        <v>254</v>
      </c>
      <c r="R21" t="s">
        <v>593</v>
      </c>
      <c r="S21" t="s">
        <v>1436</v>
      </c>
      <c r="T21" t="s">
        <v>1436</v>
      </c>
    </row>
    <row r="22" spans="1:20" x14ac:dyDescent="0.3">
      <c r="A22">
        <v>15765202</v>
      </c>
      <c r="C22" s="51">
        <v>46304.303472222222</v>
      </c>
      <c r="E22" t="s">
        <v>208</v>
      </c>
      <c r="F22" t="s">
        <v>196</v>
      </c>
      <c r="G22" t="s">
        <v>197</v>
      </c>
      <c r="H22" t="s">
        <v>1441</v>
      </c>
      <c r="K22" t="s">
        <v>198</v>
      </c>
      <c r="L22" t="s">
        <v>209</v>
      </c>
      <c r="Q22" t="s">
        <v>254</v>
      </c>
      <c r="R22" t="s">
        <v>593</v>
      </c>
      <c r="S22" t="s">
        <v>1436</v>
      </c>
      <c r="T22" t="s">
        <v>1436</v>
      </c>
    </row>
    <row r="23" spans="1:20" x14ac:dyDescent="0.3">
      <c r="A23">
        <v>15761010</v>
      </c>
      <c r="B23" t="s">
        <v>194</v>
      </c>
      <c r="C23" s="51">
        <v>46303.693749999999</v>
      </c>
      <c r="E23" t="s">
        <v>337</v>
      </c>
      <c r="F23" t="s">
        <v>196</v>
      </c>
      <c r="G23" t="s">
        <v>197</v>
      </c>
      <c r="H23" t="s">
        <v>1442</v>
      </c>
      <c r="K23" t="s">
        <v>257</v>
      </c>
      <c r="L23" t="s">
        <v>258</v>
      </c>
      <c r="S23" t="s">
        <v>250</v>
      </c>
    </row>
    <row r="24" spans="1:20" x14ac:dyDescent="0.3">
      <c r="A24">
        <v>15761006</v>
      </c>
      <c r="B24" t="s">
        <v>194</v>
      </c>
      <c r="C24" s="51">
        <v>46303.693749999999</v>
      </c>
      <c r="E24" t="s">
        <v>337</v>
      </c>
      <c r="F24" t="s">
        <v>196</v>
      </c>
      <c r="G24" t="s">
        <v>197</v>
      </c>
      <c r="H24" t="s">
        <v>1443</v>
      </c>
      <c r="K24" t="s">
        <v>257</v>
      </c>
      <c r="L24" t="s">
        <v>258</v>
      </c>
      <c r="S24" t="s">
        <v>250</v>
      </c>
    </row>
    <row r="25" spans="1:20" x14ac:dyDescent="0.3">
      <c r="A25">
        <v>15760580</v>
      </c>
      <c r="B25" t="s">
        <v>194</v>
      </c>
      <c r="C25" s="51">
        <v>46303.651388888888</v>
      </c>
      <c r="E25" t="s">
        <v>213</v>
      </c>
      <c r="F25" t="s">
        <v>196</v>
      </c>
      <c r="G25" t="s">
        <v>197</v>
      </c>
      <c r="H25" t="s">
        <v>1444</v>
      </c>
      <c r="K25" t="s">
        <v>198</v>
      </c>
      <c r="L25" t="s">
        <v>199</v>
      </c>
      <c r="Q25" t="s">
        <v>405</v>
      </c>
      <c r="R25" t="s">
        <v>406</v>
      </c>
      <c r="S25" t="s">
        <v>1445</v>
      </c>
      <c r="T25" t="s">
        <v>1445</v>
      </c>
    </row>
    <row r="26" spans="1:20" x14ac:dyDescent="0.3">
      <c r="A26">
        <v>15760198</v>
      </c>
      <c r="B26" t="s">
        <v>194</v>
      </c>
      <c r="C26" s="51">
        <v>46303.65</v>
      </c>
      <c r="E26" t="s">
        <v>213</v>
      </c>
      <c r="F26" t="s">
        <v>196</v>
      </c>
      <c r="G26" t="s">
        <v>197</v>
      </c>
      <c r="H26" t="s">
        <v>1446</v>
      </c>
      <c r="K26" t="s">
        <v>198</v>
      </c>
      <c r="L26" t="s">
        <v>199</v>
      </c>
      <c r="Q26" t="s">
        <v>405</v>
      </c>
      <c r="R26" t="s">
        <v>406</v>
      </c>
      <c r="S26" t="s">
        <v>1445</v>
      </c>
      <c r="T26" t="s">
        <v>1445</v>
      </c>
    </row>
    <row r="27" spans="1:20" x14ac:dyDescent="0.3">
      <c r="A27">
        <v>15760052</v>
      </c>
      <c r="C27" s="51">
        <v>46303.647222222222</v>
      </c>
      <c r="E27" t="s">
        <v>208</v>
      </c>
      <c r="F27" t="s">
        <v>196</v>
      </c>
      <c r="G27" t="s">
        <v>197</v>
      </c>
      <c r="H27" t="s">
        <v>1447</v>
      </c>
      <c r="K27" t="s">
        <v>198</v>
      </c>
      <c r="L27" t="s">
        <v>209</v>
      </c>
      <c r="Q27" t="s">
        <v>405</v>
      </c>
      <c r="R27" t="s">
        <v>406</v>
      </c>
      <c r="S27" t="s">
        <v>1445</v>
      </c>
      <c r="T27" t="s">
        <v>1445</v>
      </c>
    </row>
    <row r="28" spans="1:20" x14ac:dyDescent="0.3">
      <c r="A28">
        <v>15760010</v>
      </c>
      <c r="B28" t="s">
        <v>194</v>
      </c>
      <c r="C28" s="51">
        <v>46303.631944444445</v>
      </c>
      <c r="E28" t="s">
        <v>201</v>
      </c>
      <c r="F28" t="s">
        <v>196</v>
      </c>
      <c r="G28" t="s">
        <v>197</v>
      </c>
      <c r="H28" t="s">
        <v>1448</v>
      </c>
      <c r="K28" t="s">
        <v>198</v>
      </c>
      <c r="L28" t="s">
        <v>199</v>
      </c>
      <c r="Q28" t="s">
        <v>231</v>
      </c>
      <c r="R28" t="s">
        <v>232</v>
      </c>
      <c r="S28" t="s">
        <v>230</v>
      </c>
      <c r="T28" t="s">
        <v>230</v>
      </c>
    </row>
    <row r="29" spans="1:20" x14ac:dyDescent="0.3">
      <c r="A29">
        <v>15760004</v>
      </c>
      <c r="B29" t="s">
        <v>194</v>
      </c>
      <c r="C29" s="51">
        <v>46303.629861111112</v>
      </c>
      <c r="E29" t="s">
        <v>195</v>
      </c>
      <c r="F29" t="s">
        <v>196</v>
      </c>
      <c r="G29" t="s">
        <v>197</v>
      </c>
      <c r="H29" t="s">
        <v>1449</v>
      </c>
      <c r="K29" t="s">
        <v>198</v>
      </c>
      <c r="L29" t="s">
        <v>199</v>
      </c>
      <c r="Q29" t="s">
        <v>231</v>
      </c>
      <c r="R29" t="s">
        <v>232</v>
      </c>
      <c r="S29" t="s">
        <v>230</v>
      </c>
      <c r="T29" t="s">
        <v>230</v>
      </c>
    </row>
    <row r="30" spans="1:20" x14ac:dyDescent="0.3">
      <c r="A30">
        <v>15759848</v>
      </c>
      <c r="B30" t="s">
        <v>194</v>
      </c>
      <c r="C30" s="51">
        <v>46303.621527777781</v>
      </c>
      <c r="E30" t="s">
        <v>204</v>
      </c>
      <c r="F30" t="s">
        <v>196</v>
      </c>
      <c r="G30" t="s">
        <v>197</v>
      </c>
      <c r="H30" t="s">
        <v>1450</v>
      </c>
      <c r="K30" t="s">
        <v>198</v>
      </c>
      <c r="L30" t="s">
        <v>199</v>
      </c>
      <c r="Q30" t="s">
        <v>566</v>
      </c>
      <c r="R30" t="s">
        <v>567</v>
      </c>
      <c r="S30" t="s">
        <v>1451</v>
      </c>
      <c r="T30" t="s">
        <v>1451</v>
      </c>
    </row>
    <row r="31" spans="1:20" x14ac:dyDescent="0.3">
      <c r="A31">
        <v>15759406</v>
      </c>
      <c r="B31" t="s">
        <v>194</v>
      </c>
      <c r="C31" s="51">
        <v>46303.570833333331</v>
      </c>
      <c r="E31" t="s">
        <v>204</v>
      </c>
      <c r="F31" t="s">
        <v>196</v>
      </c>
      <c r="G31" t="s">
        <v>197</v>
      </c>
      <c r="H31" t="s">
        <v>1452</v>
      </c>
      <c r="K31" t="s">
        <v>198</v>
      </c>
      <c r="L31" t="s">
        <v>199</v>
      </c>
      <c r="Q31" t="s">
        <v>286</v>
      </c>
      <c r="R31" t="s">
        <v>287</v>
      </c>
      <c r="S31" t="s">
        <v>1453</v>
      </c>
      <c r="T31" t="s">
        <v>1453</v>
      </c>
    </row>
    <row r="32" spans="1:20" x14ac:dyDescent="0.3">
      <c r="A32">
        <v>15759326</v>
      </c>
      <c r="B32" t="s">
        <v>194</v>
      </c>
      <c r="C32" s="51">
        <v>46303.559027777781</v>
      </c>
      <c r="E32" t="s">
        <v>201</v>
      </c>
      <c r="F32" t="s">
        <v>196</v>
      </c>
      <c r="G32" t="s">
        <v>197</v>
      </c>
      <c r="H32" t="s">
        <v>1454</v>
      </c>
      <c r="K32" t="s">
        <v>198</v>
      </c>
      <c r="L32" t="s">
        <v>199</v>
      </c>
      <c r="Q32" t="s">
        <v>1455</v>
      </c>
      <c r="R32" t="s">
        <v>1456</v>
      </c>
      <c r="S32" t="s">
        <v>1457</v>
      </c>
      <c r="T32" t="s">
        <v>1457</v>
      </c>
    </row>
    <row r="33" spans="1:20" x14ac:dyDescent="0.3">
      <c r="A33">
        <v>15759268</v>
      </c>
      <c r="B33" t="s">
        <v>194</v>
      </c>
      <c r="C33" s="51">
        <v>46303.55</v>
      </c>
      <c r="E33" t="s">
        <v>195</v>
      </c>
      <c r="F33" t="s">
        <v>196</v>
      </c>
      <c r="G33" t="s">
        <v>197</v>
      </c>
      <c r="H33" t="s">
        <v>1458</v>
      </c>
      <c r="K33" t="s">
        <v>198</v>
      </c>
      <c r="L33" t="s">
        <v>199</v>
      </c>
      <c r="Q33" t="s">
        <v>315</v>
      </c>
      <c r="R33" t="s">
        <v>316</v>
      </c>
      <c r="S33" t="s">
        <v>1459</v>
      </c>
      <c r="T33" t="s">
        <v>1459</v>
      </c>
    </row>
    <row r="34" spans="1:20" x14ac:dyDescent="0.3">
      <c r="A34">
        <v>15758664</v>
      </c>
      <c r="B34" t="s">
        <v>194</v>
      </c>
      <c r="C34" s="51">
        <v>46303.496527777781</v>
      </c>
      <c r="E34" t="s">
        <v>195</v>
      </c>
      <c r="F34" t="s">
        <v>196</v>
      </c>
      <c r="G34" t="s">
        <v>197</v>
      </c>
      <c r="H34" t="s">
        <v>1460</v>
      </c>
      <c r="K34" t="s">
        <v>198</v>
      </c>
      <c r="L34" t="s">
        <v>199</v>
      </c>
      <c r="Q34" t="s">
        <v>299</v>
      </c>
      <c r="R34" t="s">
        <v>300</v>
      </c>
      <c r="S34" t="s">
        <v>1461</v>
      </c>
      <c r="T34" t="s">
        <v>1461</v>
      </c>
    </row>
    <row r="35" spans="1:20" x14ac:dyDescent="0.3">
      <c r="A35">
        <v>15758650</v>
      </c>
      <c r="B35" t="s">
        <v>275</v>
      </c>
      <c r="C35" s="51">
        <v>46303.493055555555</v>
      </c>
      <c r="E35" t="s">
        <v>195</v>
      </c>
      <c r="F35" t="s">
        <v>196</v>
      </c>
      <c r="G35" t="s">
        <v>197</v>
      </c>
      <c r="H35" t="s">
        <v>1462</v>
      </c>
      <c r="J35" t="s">
        <v>1463</v>
      </c>
      <c r="K35" t="s">
        <v>198</v>
      </c>
      <c r="L35" t="s">
        <v>199</v>
      </c>
      <c r="O35" s="51">
        <v>46304.877083333333</v>
      </c>
      <c r="P35" t="s">
        <v>1464</v>
      </c>
      <c r="Q35" t="s">
        <v>206</v>
      </c>
      <c r="R35" t="s">
        <v>235</v>
      </c>
      <c r="S35" t="s">
        <v>296</v>
      </c>
      <c r="T35" t="s">
        <v>296</v>
      </c>
    </row>
    <row r="36" spans="1:20" x14ac:dyDescent="0.3">
      <c r="A36">
        <v>15758620</v>
      </c>
      <c r="B36" t="s">
        <v>275</v>
      </c>
      <c r="C36" s="51">
        <v>46303.486805555556</v>
      </c>
      <c r="E36" t="s">
        <v>195</v>
      </c>
      <c r="F36" t="s">
        <v>196</v>
      </c>
      <c r="G36" t="s">
        <v>197</v>
      </c>
      <c r="H36" t="s">
        <v>1465</v>
      </c>
      <c r="J36" t="s">
        <v>1466</v>
      </c>
      <c r="K36" t="s">
        <v>198</v>
      </c>
      <c r="L36" t="s">
        <v>199</v>
      </c>
      <c r="O36" s="51">
        <v>46304.875694444447</v>
      </c>
      <c r="P36" t="s">
        <v>1467</v>
      </c>
      <c r="Q36" t="s">
        <v>206</v>
      </c>
      <c r="R36" t="s">
        <v>235</v>
      </c>
      <c r="S36" t="s">
        <v>296</v>
      </c>
      <c r="T36" t="s">
        <v>296</v>
      </c>
    </row>
    <row r="37" spans="1:20" x14ac:dyDescent="0.3">
      <c r="A37">
        <v>15758468</v>
      </c>
      <c r="B37" t="s">
        <v>194</v>
      </c>
      <c r="C37" s="51">
        <v>46303.476388888892</v>
      </c>
      <c r="E37" t="s">
        <v>204</v>
      </c>
      <c r="F37" t="s">
        <v>196</v>
      </c>
      <c r="G37" t="s">
        <v>197</v>
      </c>
      <c r="H37" t="s">
        <v>1468</v>
      </c>
      <c r="K37" t="s">
        <v>198</v>
      </c>
      <c r="L37" t="s">
        <v>199</v>
      </c>
      <c r="Q37" t="s">
        <v>247</v>
      </c>
      <c r="R37" t="s">
        <v>248</v>
      </c>
      <c r="S37" t="s">
        <v>543</v>
      </c>
      <c r="T37" t="s">
        <v>543</v>
      </c>
    </row>
    <row r="38" spans="1:20" x14ac:dyDescent="0.3">
      <c r="A38">
        <v>15758424</v>
      </c>
      <c r="B38" t="s">
        <v>194</v>
      </c>
      <c r="C38" s="51">
        <v>46303.470138888886</v>
      </c>
      <c r="E38" t="s">
        <v>205</v>
      </c>
      <c r="F38" t="s">
        <v>196</v>
      </c>
      <c r="G38" t="s">
        <v>197</v>
      </c>
      <c r="H38" t="s">
        <v>1469</v>
      </c>
      <c r="K38" t="s">
        <v>198</v>
      </c>
      <c r="L38" t="s">
        <v>199</v>
      </c>
      <c r="Q38" t="s">
        <v>247</v>
      </c>
      <c r="R38" t="s">
        <v>248</v>
      </c>
      <c r="S38" t="s">
        <v>543</v>
      </c>
      <c r="T38" t="s">
        <v>543</v>
      </c>
    </row>
    <row r="39" spans="1:20" x14ac:dyDescent="0.3">
      <c r="A39">
        <v>15758282</v>
      </c>
      <c r="B39" t="s">
        <v>194</v>
      </c>
      <c r="C39" s="51">
        <v>46303.454861111109</v>
      </c>
      <c r="E39" t="s">
        <v>205</v>
      </c>
      <c r="F39" t="s">
        <v>196</v>
      </c>
      <c r="G39" t="s">
        <v>197</v>
      </c>
      <c r="H39" t="s">
        <v>1470</v>
      </c>
      <c r="K39" t="s">
        <v>198</v>
      </c>
      <c r="L39" t="s">
        <v>199</v>
      </c>
      <c r="Q39" t="s">
        <v>416</v>
      </c>
      <c r="R39" t="s">
        <v>417</v>
      </c>
      <c r="S39" t="s">
        <v>1471</v>
      </c>
      <c r="T39" t="s">
        <v>1471</v>
      </c>
    </row>
    <row r="40" spans="1:20" x14ac:dyDescent="0.3">
      <c r="A40">
        <v>15758238</v>
      </c>
      <c r="B40" t="s">
        <v>194</v>
      </c>
      <c r="C40" s="51">
        <v>46303.446527777778</v>
      </c>
      <c r="E40" t="s">
        <v>213</v>
      </c>
      <c r="F40" t="s">
        <v>196</v>
      </c>
      <c r="G40" t="s">
        <v>197</v>
      </c>
      <c r="H40" t="s">
        <v>1472</v>
      </c>
      <c r="K40" t="s">
        <v>198</v>
      </c>
      <c r="L40" t="s">
        <v>199</v>
      </c>
      <c r="Q40" t="s">
        <v>326</v>
      </c>
      <c r="R40" t="s">
        <v>327</v>
      </c>
      <c r="S40" t="s">
        <v>536</v>
      </c>
      <c r="T40" t="s">
        <v>536</v>
      </c>
    </row>
    <row r="41" spans="1:20" x14ac:dyDescent="0.3">
      <c r="A41">
        <v>15758218</v>
      </c>
      <c r="B41" t="s">
        <v>194</v>
      </c>
      <c r="C41" s="51">
        <v>46303.443055555559</v>
      </c>
      <c r="E41" t="s">
        <v>195</v>
      </c>
      <c r="F41" t="s">
        <v>196</v>
      </c>
      <c r="G41" t="s">
        <v>197</v>
      </c>
      <c r="H41" t="s">
        <v>1473</v>
      </c>
      <c r="K41" t="s">
        <v>198</v>
      </c>
      <c r="L41" t="s">
        <v>199</v>
      </c>
      <c r="Q41" t="s">
        <v>326</v>
      </c>
      <c r="R41" t="s">
        <v>327</v>
      </c>
      <c r="S41" t="s">
        <v>536</v>
      </c>
      <c r="T41" t="s">
        <v>536</v>
      </c>
    </row>
    <row r="42" spans="1:20" x14ac:dyDescent="0.3">
      <c r="A42">
        <v>15758078</v>
      </c>
      <c r="B42" t="s">
        <v>194</v>
      </c>
      <c r="C42" s="51">
        <v>46303.438194444447</v>
      </c>
      <c r="E42" t="s">
        <v>1474</v>
      </c>
      <c r="F42" t="s">
        <v>196</v>
      </c>
      <c r="G42" t="s">
        <v>197</v>
      </c>
      <c r="H42" t="s">
        <v>1475</v>
      </c>
      <c r="K42" t="s">
        <v>349</v>
      </c>
      <c r="L42" t="s">
        <v>199</v>
      </c>
      <c r="Q42" t="s">
        <v>1476</v>
      </c>
      <c r="R42" t="s">
        <v>1477</v>
      </c>
      <c r="S42" t="s">
        <v>439</v>
      </c>
      <c r="T42" t="s">
        <v>439</v>
      </c>
    </row>
    <row r="43" spans="1:20" x14ac:dyDescent="0.3">
      <c r="A43">
        <v>15757466</v>
      </c>
      <c r="B43" t="s">
        <v>275</v>
      </c>
      <c r="C43" s="51">
        <v>46303.368750000001</v>
      </c>
      <c r="E43" t="s">
        <v>204</v>
      </c>
      <c r="F43" t="s">
        <v>196</v>
      </c>
      <c r="G43" t="s">
        <v>197</v>
      </c>
      <c r="H43" t="s">
        <v>1478</v>
      </c>
      <c r="J43" t="s">
        <v>1479</v>
      </c>
      <c r="K43" t="s">
        <v>198</v>
      </c>
      <c r="L43" t="s">
        <v>199</v>
      </c>
      <c r="O43" s="51">
        <v>46304.876388888886</v>
      </c>
      <c r="P43" t="s">
        <v>1480</v>
      </c>
      <c r="Q43" t="s">
        <v>347</v>
      </c>
      <c r="R43" t="s">
        <v>348</v>
      </c>
      <c r="S43" t="s">
        <v>1481</v>
      </c>
      <c r="T43" t="s">
        <v>1481</v>
      </c>
    </row>
    <row r="44" spans="1:20" x14ac:dyDescent="0.3">
      <c r="A44">
        <v>15756804</v>
      </c>
      <c r="B44" t="s">
        <v>194</v>
      </c>
      <c r="C44" s="51">
        <v>46303.305555555555</v>
      </c>
      <c r="E44" t="s">
        <v>201</v>
      </c>
      <c r="F44" t="s">
        <v>196</v>
      </c>
      <c r="G44" t="s">
        <v>197</v>
      </c>
      <c r="H44" t="s">
        <v>1482</v>
      </c>
      <c r="K44" t="s">
        <v>198</v>
      </c>
      <c r="L44" t="s">
        <v>199</v>
      </c>
      <c r="Q44" t="s">
        <v>409</v>
      </c>
      <c r="R44" t="s">
        <v>410</v>
      </c>
      <c r="S44" t="s">
        <v>1483</v>
      </c>
      <c r="T44" t="s">
        <v>1483</v>
      </c>
    </row>
    <row r="45" spans="1:20" x14ac:dyDescent="0.3">
      <c r="A45">
        <v>15756798</v>
      </c>
      <c r="B45" t="s">
        <v>275</v>
      </c>
      <c r="C45" s="51">
        <v>46303.298611111109</v>
      </c>
      <c r="E45" t="s">
        <v>204</v>
      </c>
      <c r="F45" t="s">
        <v>196</v>
      </c>
      <c r="G45" t="s">
        <v>197</v>
      </c>
      <c r="H45" t="s">
        <v>1484</v>
      </c>
      <c r="J45" t="s">
        <v>1485</v>
      </c>
      <c r="K45" t="s">
        <v>198</v>
      </c>
      <c r="L45" t="s">
        <v>199</v>
      </c>
      <c r="O45" s="51">
        <v>46304.877083333333</v>
      </c>
      <c r="P45" t="s">
        <v>1486</v>
      </c>
      <c r="Q45" t="s">
        <v>347</v>
      </c>
      <c r="R45" t="s">
        <v>348</v>
      </c>
      <c r="S45" t="s">
        <v>1487</v>
      </c>
      <c r="T45" t="s">
        <v>1487</v>
      </c>
    </row>
    <row r="46" spans="1:20" x14ac:dyDescent="0.3">
      <c r="A46">
        <v>15752812</v>
      </c>
      <c r="B46" t="s">
        <v>1414</v>
      </c>
      <c r="C46" s="51">
        <v>46302.768750000003</v>
      </c>
      <c r="E46" t="s">
        <v>1415</v>
      </c>
      <c r="F46" t="s">
        <v>196</v>
      </c>
      <c r="G46" t="s">
        <v>197</v>
      </c>
      <c r="H46" t="s">
        <v>1488</v>
      </c>
      <c r="K46" t="s">
        <v>1417</v>
      </c>
      <c r="L46" t="s">
        <v>1418</v>
      </c>
    </row>
    <row r="47" spans="1:20" x14ac:dyDescent="0.3">
      <c r="A47">
        <v>15752802</v>
      </c>
      <c r="B47" t="s">
        <v>1414</v>
      </c>
      <c r="C47" s="51">
        <v>46302.767361111109</v>
      </c>
      <c r="E47" t="s">
        <v>1489</v>
      </c>
      <c r="F47" t="s">
        <v>196</v>
      </c>
      <c r="G47" t="s">
        <v>197</v>
      </c>
      <c r="H47" t="s">
        <v>1490</v>
      </c>
      <c r="K47" t="s">
        <v>1417</v>
      </c>
      <c r="L47" t="s">
        <v>1418</v>
      </c>
    </row>
    <row r="48" spans="1:20" x14ac:dyDescent="0.3">
      <c r="A48">
        <v>15752618</v>
      </c>
      <c r="B48" t="s">
        <v>194</v>
      </c>
      <c r="C48" s="51">
        <v>46302.744444444441</v>
      </c>
      <c r="E48" t="s">
        <v>251</v>
      </c>
      <c r="F48" t="s">
        <v>196</v>
      </c>
      <c r="G48" t="s">
        <v>197</v>
      </c>
      <c r="H48" t="s">
        <v>1491</v>
      </c>
      <c r="K48" t="s">
        <v>249</v>
      </c>
      <c r="L48" t="s">
        <v>199</v>
      </c>
      <c r="Q48" t="s">
        <v>288</v>
      </c>
      <c r="R48" t="s">
        <v>585</v>
      </c>
      <c r="S48" t="s">
        <v>584</v>
      </c>
      <c r="T48" t="s">
        <v>584</v>
      </c>
    </row>
    <row r="49" spans="1:20" x14ac:dyDescent="0.3">
      <c r="A49">
        <v>15752614</v>
      </c>
      <c r="B49" t="s">
        <v>275</v>
      </c>
      <c r="C49" s="51">
        <v>46302.743750000001</v>
      </c>
      <c r="E49" t="s">
        <v>205</v>
      </c>
      <c r="F49" t="s">
        <v>196</v>
      </c>
      <c r="G49" t="s">
        <v>197</v>
      </c>
      <c r="H49" t="s">
        <v>1492</v>
      </c>
      <c r="J49" t="s">
        <v>1493</v>
      </c>
      <c r="K49" t="s">
        <v>249</v>
      </c>
      <c r="L49" t="s">
        <v>199</v>
      </c>
      <c r="O49" s="51">
        <v>46304.875694444447</v>
      </c>
      <c r="P49" t="s">
        <v>1494</v>
      </c>
      <c r="Q49" t="s">
        <v>347</v>
      </c>
      <c r="R49" t="s">
        <v>348</v>
      </c>
      <c r="S49" t="s">
        <v>465</v>
      </c>
      <c r="T49" t="s">
        <v>465</v>
      </c>
    </row>
    <row r="50" spans="1:20" x14ac:dyDescent="0.3">
      <c r="A50">
        <v>15752610</v>
      </c>
      <c r="B50" t="s">
        <v>194</v>
      </c>
      <c r="C50" s="51">
        <v>46302.743055555555</v>
      </c>
      <c r="E50" t="s">
        <v>205</v>
      </c>
      <c r="F50" t="s">
        <v>196</v>
      </c>
      <c r="G50" t="s">
        <v>197</v>
      </c>
      <c r="H50" t="s">
        <v>1495</v>
      </c>
      <c r="K50" t="s">
        <v>249</v>
      </c>
      <c r="L50" t="s">
        <v>199</v>
      </c>
      <c r="Q50" t="s">
        <v>231</v>
      </c>
      <c r="R50" t="s">
        <v>232</v>
      </c>
      <c r="S50" t="s">
        <v>1496</v>
      </c>
      <c r="T50" t="s">
        <v>1496</v>
      </c>
    </row>
    <row r="51" spans="1:20" x14ac:dyDescent="0.3">
      <c r="A51">
        <v>15752608</v>
      </c>
      <c r="B51" t="s">
        <v>275</v>
      </c>
      <c r="C51" s="51">
        <v>46302.742361111108</v>
      </c>
      <c r="E51" t="s">
        <v>205</v>
      </c>
      <c r="F51" t="s">
        <v>196</v>
      </c>
      <c r="G51" t="s">
        <v>197</v>
      </c>
      <c r="H51" t="s">
        <v>1497</v>
      </c>
      <c r="J51" t="s">
        <v>1498</v>
      </c>
      <c r="K51" t="s">
        <v>249</v>
      </c>
      <c r="L51" t="s">
        <v>199</v>
      </c>
      <c r="O51" s="51">
        <v>46304.877083333333</v>
      </c>
      <c r="P51" t="s">
        <v>1499</v>
      </c>
      <c r="Q51" t="s">
        <v>347</v>
      </c>
      <c r="R51" t="s">
        <v>348</v>
      </c>
      <c r="S51" t="s">
        <v>465</v>
      </c>
      <c r="T51" t="s">
        <v>465</v>
      </c>
    </row>
    <row r="52" spans="1:20" x14ac:dyDescent="0.3">
      <c r="A52">
        <v>15752606</v>
      </c>
      <c r="B52" t="s">
        <v>194</v>
      </c>
      <c r="C52" s="51">
        <v>46302.741666666669</v>
      </c>
      <c r="E52" t="s">
        <v>317</v>
      </c>
      <c r="F52" t="s">
        <v>196</v>
      </c>
      <c r="G52" t="s">
        <v>197</v>
      </c>
      <c r="H52" t="s">
        <v>1500</v>
      </c>
      <c r="K52" t="s">
        <v>249</v>
      </c>
      <c r="L52" t="s">
        <v>199</v>
      </c>
      <c r="Q52" t="s">
        <v>294</v>
      </c>
      <c r="R52" t="s">
        <v>295</v>
      </c>
      <c r="S52" t="s">
        <v>591</v>
      </c>
      <c r="T52" t="s">
        <v>591</v>
      </c>
    </row>
    <row r="53" spans="1:20" x14ac:dyDescent="0.3">
      <c r="A53">
        <v>15752604</v>
      </c>
      <c r="B53" t="s">
        <v>194</v>
      </c>
      <c r="C53" s="51">
        <v>46302.740972222222</v>
      </c>
      <c r="E53" t="s">
        <v>201</v>
      </c>
      <c r="F53" t="s">
        <v>196</v>
      </c>
      <c r="G53" t="s">
        <v>197</v>
      </c>
      <c r="H53" t="s">
        <v>1501</v>
      </c>
      <c r="K53" t="s">
        <v>249</v>
      </c>
      <c r="L53" t="s">
        <v>199</v>
      </c>
      <c r="Q53" t="s">
        <v>286</v>
      </c>
      <c r="R53" t="s">
        <v>287</v>
      </c>
      <c r="S53" t="s">
        <v>1502</v>
      </c>
      <c r="T53" t="s">
        <v>1502</v>
      </c>
    </row>
    <row r="54" spans="1:20" x14ac:dyDescent="0.3">
      <c r="A54">
        <v>15752600</v>
      </c>
      <c r="B54" t="s">
        <v>194</v>
      </c>
      <c r="C54" s="51">
        <v>46302.738194444442</v>
      </c>
      <c r="E54" t="s">
        <v>205</v>
      </c>
      <c r="F54" t="s">
        <v>196</v>
      </c>
      <c r="G54" t="s">
        <v>197</v>
      </c>
      <c r="H54" t="s">
        <v>1503</v>
      </c>
      <c r="K54" t="s">
        <v>249</v>
      </c>
      <c r="L54" t="s">
        <v>199</v>
      </c>
      <c r="Q54" t="s">
        <v>294</v>
      </c>
      <c r="R54" t="s">
        <v>295</v>
      </c>
      <c r="S54" t="s">
        <v>591</v>
      </c>
      <c r="T54" t="s">
        <v>591</v>
      </c>
    </row>
    <row r="55" spans="1:20" x14ac:dyDescent="0.3">
      <c r="A55">
        <v>15752402</v>
      </c>
      <c r="B55" t="s">
        <v>194</v>
      </c>
      <c r="C55" s="51">
        <v>46302.711111111108</v>
      </c>
      <c r="E55" t="s">
        <v>256</v>
      </c>
      <c r="F55" t="s">
        <v>196</v>
      </c>
      <c r="G55" t="s">
        <v>197</v>
      </c>
      <c r="H55" t="s">
        <v>613</v>
      </c>
      <c r="K55" t="s">
        <v>257</v>
      </c>
      <c r="L55" t="s">
        <v>258</v>
      </c>
      <c r="S55" t="s">
        <v>357</v>
      </c>
    </row>
    <row r="56" spans="1:20" x14ac:dyDescent="0.3">
      <c r="A56">
        <v>15752092</v>
      </c>
      <c r="B56" t="s">
        <v>194</v>
      </c>
      <c r="C56" s="51">
        <v>46302.709722222222</v>
      </c>
      <c r="E56" t="s">
        <v>337</v>
      </c>
      <c r="F56" t="s">
        <v>196</v>
      </c>
      <c r="G56" t="s">
        <v>197</v>
      </c>
      <c r="H56" t="s">
        <v>1504</v>
      </c>
      <c r="K56" t="s">
        <v>257</v>
      </c>
      <c r="L56" t="s">
        <v>258</v>
      </c>
      <c r="S56" t="s">
        <v>1505</v>
      </c>
    </row>
    <row r="57" spans="1:20" x14ac:dyDescent="0.3">
      <c r="A57">
        <v>15752002</v>
      </c>
      <c r="B57" t="s">
        <v>194</v>
      </c>
      <c r="C57" s="51">
        <v>46302.709722222222</v>
      </c>
      <c r="E57" t="s">
        <v>337</v>
      </c>
      <c r="F57" t="s">
        <v>196</v>
      </c>
      <c r="G57" t="s">
        <v>197</v>
      </c>
      <c r="H57" t="s">
        <v>1506</v>
      </c>
      <c r="K57" t="s">
        <v>257</v>
      </c>
      <c r="L57" t="s">
        <v>258</v>
      </c>
      <c r="S57" t="s">
        <v>607</v>
      </c>
    </row>
    <row r="58" spans="1:20" x14ac:dyDescent="0.3">
      <c r="A58">
        <v>15751730</v>
      </c>
      <c r="B58" t="s">
        <v>194</v>
      </c>
      <c r="C58" s="51">
        <v>46302.709027777775</v>
      </c>
      <c r="E58" t="s">
        <v>1507</v>
      </c>
      <c r="F58" t="s">
        <v>196</v>
      </c>
      <c r="G58" t="s">
        <v>197</v>
      </c>
      <c r="H58" t="s">
        <v>1508</v>
      </c>
      <c r="K58" t="s">
        <v>257</v>
      </c>
      <c r="L58" t="s">
        <v>258</v>
      </c>
      <c r="S58" t="s">
        <v>244</v>
      </c>
    </row>
    <row r="59" spans="1:20" x14ac:dyDescent="0.3">
      <c r="A59">
        <v>15750618</v>
      </c>
      <c r="B59" t="s">
        <v>194</v>
      </c>
      <c r="C59" s="51">
        <v>46302.609027777777</v>
      </c>
      <c r="E59" t="s">
        <v>201</v>
      </c>
      <c r="F59" t="s">
        <v>196</v>
      </c>
      <c r="G59" t="s">
        <v>197</v>
      </c>
      <c r="H59" t="s">
        <v>1509</v>
      </c>
      <c r="K59" t="s">
        <v>198</v>
      </c>
      <c r="L59" t="s">
        <v>199</v>
      </c>
      <c r="Q59" t="s">
        <v>286</v>
      </c>
      <c r="R59" t="s">
        <v>287</v>
      </c>
      <c r="S59" t="s">
        <v>285</v>
      </c>
      <c r="T59" t="s">
        <v>285</v>
      </c>
    </row>
    <row r="60" spans="1:20" x14ac:dyDescent="0.3">
      <c r="A60">
        <v>15750500</v>
      </c>
      <c r="B60" t="s">
        <v>194</v>
      </c>
      <c r="C60" s="51">
        <v>46302.602777777778</v>
      </c>
      <c r="E60" t="s">
        <v>195</v>
      </c>
      <c r="F60" t="s">
        <v>196</v>
      </c>
      <c r="G60" t="s">
        <v>197</v>
      </c>
      <c r="H60" t="s">
        <v>1510</v>
      </c>
      <c r="K60" t="s">
        <v>198</v>
      </c>
      <c r="L60" t="s">
        <v>199</v>
      </c>
      <c r="Q60" t="s">
        <v>544</v>
      </c>
      <c r="R60" t="s">
        <v>545</v>
      </c>
      <c r="S60" t="s">
        <v>459</v>
      </c>
      <c r="T60" t="s">
        <v>459</v>
      </c>
    </row>
    <row r="61" spans="1:20" x14ac:dyDescent="0.3">
      <c r="A61">
        <v>15750488</v>
      </c>
      <c r="B61" t="s">
        <v>194</v>
      </c>
      <c r="C61" s="51">
        <v>46302.598611111112</v>
      </c>
      <c r="E61" t="s">
        <v>213</v>
      </c>
      <c r="F61" t="s">
        <v>196</v>
      </c>
      <c r="G61" t="s">
        <v>197</v>
      </c>
      <c r="H61" t="s">
        <v>1511</v>
      </c>
      <c r="K61" t="s">
        <v>198</v>
      </c>
      <c r="L61" t="s">
        <v>199</v>
      </c>
      <c r="Q61" t="s">
        <v>270</v>
      </c>
      <c r="R61" t="s">
        <v>448</v>
      </c>
      <c r="S61" t="s">
        <v>548</v>
      </c>
      <c r="T61" t="s">
        <v>548</v>
      </c>
    </row>
    <row r="62" spans="1:20" x14ac:dyDescent="0.3">
      <c r="A62">
        <v>15750478</v>
      </c>
      <c r="B62" t="s">
        <v>275</v>
      </c>
      <c r="C62" s="51">
        <v>46302.592361111114</v>
      </c>
      <c r="E62" t="s">
        <v>205</v>
      </c>
      <c r="F62" t="s">
        <v>196</v>
      </c>
      <c r="G62" t="s">
        <v>197</v>
      </c>
      <c r="H62" t="s">
        <v>1512</v>
      </c>
      <c r="J62" t="s">
        <v>1513</v>
      </c>
      <c r="K62" t="s">
        <v>198</v>
      </c>
      <c r="L62" t="s">
        <v>199</v>
      </c>
      <c r="O62" s="51">
        <v>46304.875694444447</v>
      </c>
      <c r="P62" t="s">
        <v>1514</v>
      </c>
      <c r="Q62" t="s">
        <v>252</v>
      </c>
      <c r="R62" t="s">
        <v>260</v>
      </c>
      <c r="S62" t="s">
        <v>538</v>
      </c>
      <c r="T62" t="s">
        <v>538</v>
      </c>
    </row>
    <row r="63" spans="1:20" x14ac:dyDescent="0.3">
      <c r="A63">
        <v>15750446</v>
      </c>
      <c r="B63" t="s">
        <v>275</v>
      </c>
      <c r="C63" s="51">
        <v>46302.588194444441</v>
      </c>
      <c r="E63" t="s">
        <v>213</v>
      </c>
      <c r="F63" t="s">
        <v>196</v>
      </c>
      <c r="G63" t="s">
        <v>197</v>
      </c>
      <c r="H63" t="s">
        <v>1515</v>
      </c>
      <c r="J63" t="s">
        <v>1516</v>
      </c>
      <c r="K63" t="s">
        <v>198</v>
      </c>
      <c r="L63" t="s">
        <v>199</v>
      </c>
      <c r="O63" s="51">
        <v>46304.876388888886</v>
      </c>
      <c r="P63" t="s">
        <v>1517</v>
      </c>
      <c r="Q63" t="s">
        <v>329</v>
      </c>
      <c r="R63" t="s">
        <v>540</v>
      </c>
      <c r="S63" t="s">
        <v>1518</v>
      </c>
      <c r="T63" t="s">
        <v>1518</v>
      </c>
    </row>
    <row r="64" spans="1:20" x14ac:dyDescent="0.3">
      <c r="A64">
        <v>15750192</v>
      </c>
      <c r="B64" t="s">
        <v>275</v>
      </c>
      <c r="C64" s="51">
        <v>46302.581944444442</v>
      </c>
      <c r="E64" t="s">
        <v>213</v>
      </c>
      <c r="F64" t="s">
        <v>196</v>
      </c>
      <c r="G64" t="s">
        <v>197</v>
      </c>
      <c r="H64" t="s">
        <v>1519</v>
      </c>
      <c r="J64" t="s">
        <v>1520</v>
      </c>
      <c r="K64" t="s">
        <v>198</v>
      </c>
      <c r="L64" t="s">
        <v>199</v>
      </c>
      <c r="O64" s="51">
        <v>46303.876388888886</v>
      </c>
      <c r="P64" t="s">
        <v>1521</v>
      </c>
      <c r="Q64" t="s">
        <v>263</v>
      </c>
      <c r="R64" t="s">
        <v>264</v>
      </c>
      <c r="S64" t="s">
        <v>1522</v>
      </c>
      <c r="T64" t="s">
        <v>1522</v>
      </c>
    </row>
    <row r="65" spans="1:20" x14ac:dyDescent="0.3">
      <c r="A65">
        <v>15749890</v>
      </c>
      <c r="B65" t="s">
        <v>298</v>
      </c>
      <c r="C65" s="51">
        <v>46302.57708333333</v>
      </c>
      <c r="D65" s="51">
        <v>46305.074999999997</v>
      </c>
      <c r="E65" t="s">
        <v>208</v>
      </c>
      <c r="F65" t="s">
        <v>196</v>
      </c>
      <c r="G65" t="s">
        <v>197</v>
      </c>
      <c r="H65" t="s">
        <v>1523</v>
      </c>
      <c r="K65" t="s">
        <v>198</v>
      </c>
      <c r="L65" t="s">
        <v>209</v>
      </c>
      <c r="O65" s="51">
        <v>46304.876388888886</v>
      </c>
      <c r="P65" t="s">
        <v>1524</v>
      </c>
      <c r="Q65" t="s">
        <v>214</v>
      </c>
      <c r="R65" t="s">
        <v>361</v>
      </c>
      <c r="S65" t="s">
        <v>364</v>
      </c>
      <c r="T65" t="s">
        <v>364</v>
      </c>
    </row>
    <row r="66" spans="1:20" x14ac:dyDescent="0.3">
      <c r="A66">
        <v>15749836</v>
      </c>
      <c r="B66" t="s">
        <v>194</v>
      </c>
      <c r="C66" s="51">
        <v>46302.569444444445</v>
      </c>
      <c r="E66" t="s">
        <v>1507</v>
      </c>
      <c r="F66" t="s">
        <v>196</v>
      </c>
      <c r="G66" t="s">
        <v>197</v>
      </c>
      <c r="H66" t="s">
        <v>557</v>
      </c>
      <c r="J66" t="s">
        <v>1525</v>
      </c>
      <c r="K66" t="s">
        <v>257</v>
      </c>
      <c r="L66" t="s">
        <v>258</v>
      </c>
      <c r="S66" t="s">
        <v>555</v>
      </c>
    </row>
    <row r="67" spans="1:20" x14ac:dyDescent="0.3">
      <c r="A67">
        <v>15749826</v>
      </c>
      <c r="B67" t="s">
        <v>275</v>
      </c>
      <c r="C67" s="51">
        <v>46302.567361111112</v>
      </c>
      <c r="E67" t="s">
        <v>205</v>
      </c>
      <c r="F67" t="s">
        <v>196</v>
      </c>
      <c r="G67" t="s">
        <v>197</v>
      </c>
      <c r="H67" t="s">
        <v>1526</v>
      </c>
      <c r="J67" t="s">
        <v>1527</v>
      </c>
      <c r="K67" t="s">
        <v>198</v>
      </c>
      <c r="L67" t="s">
        <v>199</v>
      </c>
      <c r="O67" s="51">
        <v>46304.877083333333</v>
      </c>
      <c r="P67" t="s">
        <v>1528</v>
      </c>
      <c r="Q67" t="s">
        <v>238</v>
      </c>
      <c r="R67" t="s">
        <v>239</v>
      </c>
      <c r="S67" t="s">
        <v>539</v>
      </c>
      <c r="T67" t="s">
        <v>539</v>
      </c>
    </row>
    <row r="68" spans="1:20" x14ac:dyDescent="0.3">
      <c r="A68">
        <v>15749718</v>
      </c>
      <c r="B68" t="s">
        <v>275</v>
      </c>
      <c r="C68" s="51">
        <v>46302.561805555553</v>
      </c>
      <c r="E68" t="s">
        <v>201</v>
      </c>
      <c r="F68" t="s">
        <v>196</v>
      </c>
      <c r="G68" t="s">
        <v>197</v>
      </c>
      <c r="H68" t="s">
        <v>1529</v>
      </c>
      <c r="J68" t="s">
        <v>1530</v>
      </c>
      <c r="K68" t="s">
        <v>198</v>
      </c>
      <c r="L68" t="s">
        <v>199</v>
      </c>
      <c r="O68" s="51">
        <v>46304.875694444447</v>
      </c>
      <c r="P68" t="s">
        <v>1531</v>
      </c>
      <c r="Q68" t="s">
        <v>242</v>
      </c>
      <c r="R68" t="s">
        <v>243</v>
      </c>
      <c r="S68" t="s">
        <v>1532</v>
      </c>
      <c r="T68" t="s">
        <v>1532</v>
      </c>
    </row>
    <row r="69" spans="1:20" x14ac:dyDescent="0.3">
      <c r="A69">
        <v>15749692</v>
      </c>
      <c r="B69" t="s">
        <v>275</v>
      </c>
      <c r="C69" s="51">
        <v>46302.557638888888</v>
      </c>
      <c r="E69" t="s">
        <v>204</v>
      </c>
      <c r="F69" t="s">
        <v>196</v>
      </c>
      <c r="G69" t="s">
        <v>197</v>
      </c>
      <c r="H69" t="s">
        <v>1533</v>
      </c>
      <c r="J69" t="s">
        <v>1534</v>
      </c>
      <c r="K69" t="s">
        <v>198</v>
      </c>
      <c r="L69" t="s">
        <v>199</v>
      </c>
      <c r="O69" s="51">
        <v>46304.877083333333</v>
      </c>
      <c r="P69" t="s">
        <v>1535</v>
      </c>
      <c r="Q69" t="s">
        <v>242</v>
      </c>
      <c r="R69" t="s">
        <v>243</v>
      </c>
      <c r="S69" t="s">
        <v>1532</v>
      </c>
      <c r="T69" t="s">
        <v>1532</v>
      </c>
    </row>
    <row r="70" spans="1:20" x14ac:dyDescent="0.3">
      <c r="A70">
        <v>15749626</v>
      </c>
      <c r="B70" t="s">
        <v>298</v>
      </c>
      <c r="C70" s="51">
        <v>46302.549305555556</v>
      </c>
      <c r="D70" s="51">
        <v>46305.074999999997</v>
      </c>
      <c r="E70" t="s">
        <v>208</v>
      </c>
      <c r="F70" t="s">
        <v>196</v>
      </c>
      <c r="G70" t="s">
        <v>197</v>
      </c>
      <c r="H70" t="s">
        <v>1536</v>
      </c>
      <c r="K70" t="s">
        <v>198</v>
      </c>
      <c r="L70" t="s">
        <v>209</v>
      </c>
      <c r="O70" s="51">
        <v>46304.875694444447</v>
      </c>
      <c r="P70" t="s">
        <v>1537</v>
      </c>
      <c r="Q70" t="s">
        <v>304</v>
      </c>
      <c r="R70" t="s">
        <v>305</v>
      </c>
      <c r="S70" t="s">
        <v>306</v>
      </c>
      <c r="T70" t="s">
        <v>306</v>
      </c>
    </row>
    <row r="71" spans="1:20" x14ac:dyDescent="0.3">
      <c r="A71">
        <v>15749264</v>
      </c>
      <c r="B71" t="s">
        <v>275</v>
      </c>
      <c r="C71" s="51">
        <v>46302.519444444442</v>
      </c>
      <c r="E71" t="s">
        <v>195</v>
      </c>
      <c r="F71" t="s">
        <v>196</v>
      </c>
      <c r="G71" t="s">
        <v>197</v>
      </c>
      <c r="H71" t="s">
        <v>1538</v>
      </c>
      <c r="J71" t="s">
        <v>1539</v>
      </c>
      <c r="K71" t="s">
        <v>198</v>
      </c>
      <c r="L71" t="s">
        <v>199</v>
      </c>
      <c r="O71" s="51">
        <v>46303.875694444447</v>
      </c>
      <c r="P71" t="s">
        <v>1540</v>
      </c>
      <c r="Q71" t="s">
        <v>366</v>
      </c>
      <c r="R71" t="s">
        <v>367</v>
      </c>
      <c r="S71" t="s">
        <v>1541</v>
      </c>
      <c r="T71" t="s">
        <v>1541</v>
      </c>
    </row>
    <row r="72" spans="1:20" x14ac:dyDescent="0.3">
      <c r="A72">
        <v>15749256</v>
      </c>
      <c r="B72" t="s">
        <v>275</v>
      </c>
      <c r="C72" s="51">
        <v>46302.517361111109</v>
      </c>
      <c r="E72" t="s">
        <v>201</v>
      </c>
      <c r="F72" t="s">
        <v>196</v>
      </c>
      <c r="G72" t="s">
        <v>197</v>
      </c>
      <c r="H72" t="s">
        <v>1542</v>
      </c>
      <c r="J72" t="s">
        <v>1543</v>
      </c>
      <c r="K72" t="s">
        <v>198</v>
      </c>
      <c r="L72" t="s">
        <v>199</v>
      </c>
      <c r="O72" s="51">
        <v>46303.876388888886</v>
      </c>
      <c r="P72" t="s">
        <v>1544</v>
      </c>
      <c r="Q72" t="s">
        <v>366</v>
      </c>
      <c r="R72" t="s">
        <v>367</v>
      </c>
      <c r="S72" t="s">
        <v>1541</v>
      </c>
      <c r="T72" t="s">
        <v>1541</v>
      </c>
    </row>
    <row r="73" spans="1:20" x14ac:dyDescent="0.3">
      <c r="A73">
        <v>15749048</v>
      </c>
      <c r="B73" t="s">
        <v>275</v>
      </c>
      <c r="C73" s="51">
        <v>46302.492361111108</v>
      </c>
      <c r="E73" t="s">
        <v>213</v>
      </c>
      <c r="F73" t="s">
        <v>196</v>
      </c>
      <c r="G73" t="s">
        <v>197</v>
      </c>
      <c r="H73" t="s">
        <v>1545</v>
      </c>
      <c r="J73" t="s">
        <v>1546</v>
      </c>
      <c r="K73" t="s">
        <v>198</v>
      </c>
      <c r="L73" t="s">
        <v>199</v>
      </c>
      <c r="O73" s="51">
        <v>46304.875694444447</v>
      </c>
      <c r="P73" t="s">
        <v>1547</v>
      </c>
      <c r="Q73" t="s">
        <v>405</v>
      </c>
      <c r="R73" t="s">
        <v>406</v>
      </c>
      <c r="S73" t="s">
        <v>1548</v>
      </c>
      <c r="T73" t="s">
        <v>1548</v>
      </c>
    </row>
    <row r="74" spans="1:20" x14ac:dyDescent="0.3">
      <c r="A74">
        <v>15749020</v>
      </c>
      <c r="B74" t="s">
        <v>194</v>
      </c>
      <c r="C74" s="51">
        <v>46302.488888888889</v>
      </c>
      <c r="E74" t="s">
        <v>204</v>
      </c>
      <c r="F74" t="s">
        <v>196</v>
      </c>
      <c r="G74" t="s">
        <v>197</v>
      </c>
      <c r="H74" t="s">
        <v>1549</v>
      </c>
      <c r="K74" t="s">
        <v>198</v>
      </c>
      <c r="L74" t="s">
        <v>199</v>
      </c>
      <c r="Q74" t="s">
        <v>597</v>
      </c>
      <c r="R74" t="s">
        <v>598</v>
      </c>
      <c r="S74" t="s">
        <v>1550</v>
      </c>
      <c r="T74" t="s">
        <v>1550</v>
      </c>
    </row>
    <row r="75" spans="1:20" x14ac:dyDescent="0.3">
      <c r="A75">
        <v>15749002</v>
      </c>
      <c r="B75" t="s">
        <v>275</v>
      </c>
      <c r="C75" s="51">
        <v>46302.484027777777</v>
      </c>
      <c r="E75" t="s">
        <v>201</v>
      </c>
      <c r="F75" t="s">
        <v>196</v>
      </c>
      <c r="G75" t="s">
        <v>197</v>
      </c>
      <c r="H75" t="s">
        <v>1551</v>
      </c>
      <c r="J75" t="s">
        <v>1552</v>
      </c>
      <c r="K75" t="s">
        <v>198</v>
      </c>
      <c r="L75" t="s">
        <v>199</v>
      </c>
      <c r="O75" s="51">
        <v>46304.875694444447</v>
      </c>
      <c r="P75" t="s">
        <v>1553</v>
      </c>
      <c r="Q75" t="s">
        <v>265</v>
      </c>
      <c r="R75" t="s">
        <v>266</v>
      </c>
      <c r="S75" t="s">
        <v>610</v>
      </c>
      <c r="T75" t="s">
        <v>610</v>
      </c>
    </row>
    <row r="76" spans="1:20" x14ac:dyDescent="0.3">
      <c r="A76">
        <v>15748842</v>
      </c>
      <c r="B76" t="s">
        <v>275</v>
      </c>
      <c r="C76" s="51">
        <v>46302.473611111112</v>
      </c>
      <c r="E76" t="s">
        <v>213</v>
      </c>
      <c r="F76" t="s">
        <v>196</v>
      </c>
      <c r="G76" t="s">
        <v>197</v>
      </c>
      <c r="H76" t="s">
        <v>1554</v>
      </c>
      <c r="J76" t="s">
        <v>1555</v>
      </c>
      <c r="K76" t="s">
        <v>198</v>
      </c>
      <c r="L76" t="s">
        <v>199</v>
      </c>
      <c r="O76" s="51">
        <v>46304.877083333333</v>
      </c>
      <c r="P76" t="s">
        <v>1556</v>
      </c>
      <c r="Q76" t="s">
        <v>218</v>
      </c>
      <c r="R76" t="s">
        <v>302</v>
      </c>
      <c r="S76" t="s">
        <v>402</v>
      </c>
      <c r="T76" t="s">
        <v>402</v>
      </c>
    </row>
    <row r="77" spans="1:20" x14ac:dyDescent="0.3">
      <c r="A77">
        <v>15748640</v>
      </c>
      <c r="B77" t="s">
        <v>194</v>
      </c>
      <c r="C77" s="51">
        <v>46302.451388888891</v>
      </c>
      <c r="E77" t="s">
        <v>204</v>
      </c>
      <c r="F77" t="s">
        <v>196</v>
      </c>
      <c r="G77" t="s">
        <v>197</v>
      </c>
      <c r="H77" t="s">
        <v>1557</v>
      </c>
      <c r="K77" t="s">
        <v>198</v>
      </c>
      <c r="L77" t="s">
        <v>199</v>
      </c>
      <c r="Q77" t="s">
        <v>200</v>
      </c>
      <c r="R77" t="s">
        <v>308</v>
      </c>
      <c r="S77" t="s">
        <v>407</v>
      </c>
      <c r="T77" t="s">
        <v>407</v>
      </c>
    </row>
    <row r="78" spans="1:20" x14ac:dyDescent="0.3">
      <c r="A78">
        <v>15748610</v>
      </c>
      <c r="B78" t="s">
        <v>194</v>
      </c>
      <c r="C78" s="51">
        <v>46302.442361111112</v>
      </c>
      <c r="E78" t="s">
        <v>195</v>
      </c>
      <c r="F78" t="s">
        <v>196</v>
      </c>
      <c r="G78" t="s">
        <v>197</v>
      </c>
      <c r="H78" t="s">
        <v>1558</v>
      </c>
      <c r="K78" t="s">
        <v>249</v>
      </c>
      <c r="L78" t="s">
        <v>199</v>
      </c>
      <c r="Q78" t="s">
        <v>261</v>
      </c>
      <c r="R78" t="s">
        <v>428</v>
      </c>
      <c r="S78" t="s">
        <v>427</v>
      </c>
      <c r="T78" t="s">
        <v>427</v>
      </c>
    </row>
    <row r="79" spans="1:20" x14ac:dyDescent="0.3">
      <c r="A79">
        <v>15748602</v>
      </c>
      <c r="B79" t="s">
        <v>194</v>
      </c>
      <c r="C79" s="51">
        <v>46302.441666666666</v>
      </c>
      <c r="E79" t="s">
        <v>213</v>
      </c>
      <c r="F79" t="s">
        <v>196</v>
      </c>
      <c r="G79" t="s">
        <v>197</v>
      </c>
      <c r="H79" t="s">
        <v>1559</v>
      </c>
      <c r="K79" t="s">
        <v>249</v>
      </c>
      <c r="L79" t="s">
        <v>199</v>
      </c>
      <c r="Q79" t="s">
        <v>283</v>
      </c>
      <c r="R79" t="s">
        <v>284</v>
      </c>
      <c r="S79" t="s">
        <v>1560</v>
      </c>
      <c r="T79" t="s">
        <v>1560</v>
      </c>
    </row>
    <row r="80" spans="1:20" x14ac:dyDescent="0.3">
      <c r="A80">
        <v>15748598</v>
      </c>
      <c r="B80" t="s">
        <v>194</v>
      </c>
      <c r="C80" s="51">
        <v>46302.44027777778</v>
      </c>
      <c r="E80" t="s">
        <v>213</v>
      </c>
      <c r="F80" t="s">
        <v>196</v>
      </c>
      <c r="G80" t="s">
        <v>197</v>
      </c>
      <c r="H80" t="s">
        <v>1561</v>
      </c>
      <c r="K80" t="s">
        <v>249</v>
      </c>
      <c r="L80" t="s">
        <v>199</v>
      </c>
      <c r="Q80" t="s">
        <v>309</v>
      </c>
      <c r="R80" t="s">
        <v>310</v>
      </c>
      <c r="S80" t="s">
        <v>574</v>
      </c>
      <c r="T80" t="s">
        <v>574</v>
      </c>
    </row>
    <row r="81" spans="1:20" x14ac:dyDescent="0.3">
      <c r="A81">
        <v>15748596</v>
      </c>
      <c r="B81" t="s">
        <v>298</v>
      </c>
      <c r="C81" s="51">
        <v>46302.44027777778</v>
      </c>
      <c r="D81" s="51">
        <v>46305.074999999997</v>
      </c>
      <c r="E81" t="s">
        <v>208</v>
      </c>
      <c r="F81" t="s">
        <v>196</v>
      </c>
      <c r="G81" t="s">
        <v>197</v>
      </c>
      <c r="H81" t="s">
        <v>1562</v>
      </c>
      <c r="K81" t="s">
        <v>249</v>
      </c>
      <c r="L81" t="s">
        <v>209</v>
      </c>
      <c r="O81" s="51">
        <v>46304.875694444447</v>
      </c>
      <c r="P81" t="s">
        <v>1563</v>
      </c>
      <c r="Q81" t="s">
        <v>333</v>
      </c>
      <c r="R81" t="s">
        <v>449</v>
      </c>
      <c r="S81" t="s">
        <v>1564</v>
      </c>
      <c r="T81" t="s">
        <v>1564</v>
      </c>
    </row>
    <row r="82" spans="1:20" x14ac:dyDescent="0.3">
      <c r="A82">
        <v>15748594</v>
      </c>
      <c r="B82" t="s">
        <v>275</v>
      </c>
      <c r="C82" s="51">
        <v>46302.438888888886</v>
      </c>
      <c r="E82" t="s">
        <v>213</v>
      </c>
      <c r="F82" t="s">
        <v>196</v>
      </c>
      <c r="G82" t="s">
        <v>197</v>
      </c>
      <c r="H82" t="s">
        <v>1565</v>
      </c>
      <c r="J82" t="s">
        <v>1566</v>
      </c>
      <c r="K82" t="s">
        <v>198</v>
      </c>
      <c r="L82" t="s">
        <v>199</v>
      </c>
      <c r="O82" s="51">
        <v>46304.876388888886</v>
      </c>
      <c r="P82" t="s">
        <v>1567</v>
      </c>
      <c r="Q82" t="s">
        <v>397</v>
      </c>
      <c r="R82" t="s">
        <v>398</v>
      </c>
      <c r="S82" t="s">
        <v>600</v>
      </c>
      <c r="T82" t="s">
        <v>600</v>
      </c>
    </row>
    <row r="83" spans="1:20" x14ac:dyDescent="0.3">
      <c r="A83">
        <v>15748592</v>
      </c>
      <c r="B83" t="s">
        <v>194</v>
      </c>
      <c r="C83" s="51">
        <v>46302.438888888886</v>
      </c>
      <c r="E83" t="s">
        <v>205</v>
      </c>
      <c r="F83" t="s">
        <v>196</v>
      </c>
      <c r="G83" t="s">
        <v>197</v>
      </c>
      <c r="H83" t="s">
        <v>1568</v>
      </c>
      <c r="K83" t="s">
        <v>249</v>
      </c>
      <c r="L83" t="s">
        <v>199</v>
      </c>
      <c r="Q83" t="s">
        <v>333</v>
      </c>
      <c r="R83" t="s">
        <v>449</v>
      </c>
      <c r="S83" t="s">
        <v>1564</v>
      </c>
      <c r="T83" t="s">
        <v>1564</v>
      </c>
    </row>
    <row r="84" spans="1:20" x14ac:dyDescent="0.3">
      <c r="A84">
        <v>15748482</v>
      </c>
      <c r="B84" t="s">
        <v>275</v>
      </c>
      <c r="C84" s="51">
        <v>46302.438194444447</v>
      </c>
      <c r="E84" t="s">
        <v>195</v>
      </c>
      <c r="F84" t="s">
        <v>196</v>
      </c>
      <c r="G84" t="s">
        <v>197</v>
      </c>
      <c r="H84" t="s">
        <v>1569</v>
      </c>
      <c r="J84" t="s">
        <v>1570</v>
      </c>
      <c r="K84" t="s">
        <v>249</v>
      </c>
      <c r="L84" t="s">
        <v>199</v>
      </c>
      <c r="O84" s="51">
        <v>46304.876388888886</v>
      </c>
      <c r="P84" t="s">
        <v>1571</v>
      </c>
      <c r="Q84" t="s">
        <v>1572</v>
      </c>
      <c r="R84" t="s">
        <v>1573</v>
      </c>
      <c r="S84" t="s">
        <v>1574</v>
      </c>
      <c r="T84" t="s">
        <v>1574</v>
      </c>
    </row>
    <row r="85" spans="1:20" x14ac:dyDescent="0.3">
      <c r="A85">
        <v>15748270</v>
      </c>
      <c r="B85" t="s">
        <v>275</v>
      </c>
      <c r="C85" s="51">
        <v>46302.414583333331</v>
      </c>
      <c r="E85" t="s">
        <v>213</v>
      </c>
      <c r="F85" t="s">
        <v>196</v>
      </c>
      <c r="G85" t="s">
        <v>197</v>
      </c>
      <c r="H85" t="s">
        <v>1575</v>
      </c>
      <c r="J85" t="s">
        <v>1576</v>
      </c>
      <c r="K85" t="s">
        <v>198</v>
      </c>
      <c r="L85" t="s">
        <v>199</v>
      </c>
      <c r="O85" s="51">
        <v>46303.877083333333</v>
      </c>
      <c r="P85" t="s">
        <v>1577</v>
      </c>
      <c r="Q85" t="s">
        <v>311</v>
      </c>
      <c r="R85" t="s">
        <v>312</v>
      </c>
      <c r="S85" t="s">
        <v>596</v>
      </c>
      <c r="T85" t="s">
        <v>596</v>
      </c>
    </row>
    <row r="86" spans="1:20" x14ac:dyDescent="0.3">
      <c r="A86">
        <v>15748242</v>
      </c>
      <c r="B86" t="s">
        <v>275</v>
      </c>
      <c r="C86" s="51">
        <v>46302.404166666667</v>
      </c>
      <c r="E86" t="s">
        <v>201</v>
      </c>
      <c r="F86" t="s">
        <v>196</v>
      </c>
      <c r="G86" t="s">
        <v>197</v>
      </c>
      <c r="H86" t="s">
        <v>1578</v>
      </c>
      <c r="J86" t="s">
        <v>1579</v>
      </c>
      <c r="K86" t="s">
        <v>198</v>
      </c>
      <c r="L86" t="s">
        <v>199</v>
      </c>
      <c r="O86" s="51">
        <v>46303.876388888886</v>
      </c>
      <c r="P86" t="s">
        <v>1580</v>
      </c>
      <c r="Q86" t="s">
        <v>313</v>
      </c>
      <c r="R86" t="s">
        <v>314</v>
      </c>
      <c r="S86" t="s">
        <v>1581</v>
      </c>
      <c r="T86" t="s">
        <v>1581</v>
      </c>
    </row>
    <row r="87" spans="1:20" x14ac:dyDescent="0.3">
      <c r="A87">
        <v>15748074</v>
      </c>
      <c r="B87" t="s">
        <v>275</v>
      </c>
      <c r="C87" s="51">
        <v>46302.390277777777</v>
      </c>
      <c r="E87" t="s">
        <v>195</v>
      </c>
      <c r="F87" t="s">
        <v>196</v>
      </c>
      <c r="G87" t="s">
        <v>197</v>
      </c>
      <c r="H87" t="s">
        <v>1582</v>
      </c>
      <c r="J87" t="s">
        <v>1583</v>
      </c>
      <c r="K87" t="s">
        <v>198</v>
      </c>
      <c r="L87" t="s">
        <v>199</v>
      </c>
      <c r="O87" s="51">
        <v>46303.876388888886</v>
      </c>
      <c r="P87" t="s">
        <v>1584</v>
      </c>
      <c r="Q87" t="s">
        <v>313</v>
      </c>
      <c r="R87" t="s">
        <v>314</v>
      </c>
      <c r="S87" t="s">
        <v>1581</v>
      </c>
      <c r="T87" t="s">
        <v>1581</v>
      </c>
    </row>
    <row r="88" spans="1:20" x14ac:dyDescent="0.3">
      <c r="A88">
        <v>15748022</v>
      </c>
      <c r="B88" t="s">
        <v>275</v>
      </c>
      <c r="C88" s="51">
        <v>46302.381944444445</v>
      </c>
      <c r="E88" t="s">
        <v>195</v>
      </c>
      <c r="F88" t="s">
        <v>196</v>
      </c>
      <c r="G88" t="s">
        <v>197</v>
      </c>
      <c r="H88" t="s">
        <v>1585</v>
      </c>
      <c r="J88" t="s">
        <v>1586</v>
      </c>
      <c r="K88" t="s">
        <v>198</v>
      </c>
      <c r="L88" t="s">
        <v>199</v>
      </c>
      <c r="O88" s="51">
        <v>46304.877083333333</v>
      </c>
      <c r="P88" t="s">
        <v>1587</v>
      </c>
      <c r="Q88" t="s">
        <v>311</v>
      </c>
      <c r="R88" t="s">
        <v>312</v>
      </c>
      <c r="S88" t="s">
        <v>626</v>
      </c>
      <c r="T88" t="s">
        <v>626</v>
      </c>
    </row>
    <row r="89" spans="1:20" x14ac:dyDescent="0.3">
      <c r="A89">
        <v>15747956</v>
      </c>
      <c r="B89" t="s">
        <v>275</v>
      </c>
      <c r="C89" s="51">
        <v>46302.373611111114</v>
      </c>
      <c r="E89" t="s">
        <v>195</v>
      </c>
      <c r="F89" t="s">
        <v>196</v>
      </c>
      <c r="G89" t="s">
        <v>197</v>
      </c>
      <c r="H89" t="s">
        <v>1588</v>
      </c>
      <c r="J89" t="s">
        <v>1589</v>
      </c>
      <c r="K89" t="s">
        <v>198</v>
      </c>
      <c r="L89" t="s">
        <v>199</v>
      </c>
      <c r="O89" s="51">
        <v>46304.876388888886</v>
      </c>
      <c r="P89" t="s">
        <v>1590</v>
      </c>
      <c r="Q89" t="s">
        <v>214</v>
      </c>
      <c r="R89" t="s">
        <v>1591</v>
      </c>
      <c r="S89" t="s">
        <v>1592</v>
      </c>
      <c r="T89" t="s">
        <v>1592</v>
      </c>
    </row>
    <row r="90" spans="1:20" x14ac:dyDescent="0.3">
      <c r="A90">
        <v>15747940</v>
      </c>
      <c r="B90" t="s">
        <v>275</v>
      </c>
      <c r="C90" s="51">
        <v>46302.369444444441</v>
      </c>
      <c r="E90" t="s">
        <v>195</v>
      </c>
      <c r="F90" t="s">
        <v>196</v>
      </c>
      <c r="G90" t="s">
        <v>197</v>
      </c>
      <c r="H90" t="s">
        <v>1593</v>
      </c>
      <c r="J90" t="s">
        <v>1594</v>
      </c>
      <c r="K90" t="s">
        <v>198</v>
      </c>
      <c r="L90" t="s">
        <v>199</v>
      </c>
      <c r="O90" s="51">
        <v>46304.875694444447</v>
      </c>
      <c r="P90" t="s">
        <v>1595</v>
      </c>
      <c r="Q90" t="s">
        <v>211</v>
      </c>
      <c r="R90" t="s">
        <v>212</v>
      </c>
      <c r="S90" t="s">
        <v>1596</v>
      </c>
      <c r="T90" t="s">
        <v>1596</v>
      </c>
    </row>
    <row r="91" spans="1:20" x14ac:dyDescent="0.3">
      <c r="A91">
        <v>15747598</v>
      </c>
      <c r="B91" t="s">
        <v>275</v>
      </c>
      <c r="C91" s="51">
        <v>46302.336805555555</v>
      </c>
      <c r="E91" t="s">
        <v>201</v>
      </c>
      <c r="F91" t="s">
        <v>196</v>
      </c>
      <c r="G91" t="s">
        <v>197</v>
      </c>
      <c r="H91" t="s">
        <v>1597</v>
      </c>
      <c r="J91" t="s">
        <v>1598</v>
      </c>
      <c r="K91" t="s">
        <v>198</v>
      </c>
      <c r="L91" t="s">
        <v>199</v>
      </c>
      <c r="O91" s="51">
        <v>46303.875694444447</v>
      </c>
      <c r="P91" t="s">
        <v>1599</v>
      </c>
      <c r="Q91" t="s">
        <v>614</v>
      </c>
      <c r="R91" t="s">
        <v>615</v>
      </c>
      <c r="S91" t="s">
        <v>1600</v>
      </c>
      <c r="T91" t="s">
        <v>1600</v>
      </c>
    </row>
    <row r="92" spans="1:20" x14ac:dyDescent="0.3">
      <c r="A92">
        <v>15747400</v>
      </c>
      <c r="B92" t="s">
        <v>275</v>
      </c>
      <c r="C92" s="51">
        <v>46302.327777777777</v>
      </c>
      <c r="E92" t="s">
        <v>213</v>
      </c>
      <c r="F92" t="s">
        <v>196</v>
      </c>
      <c r="G92" t="s">
        <v>197</v>
      </c>
      <c r="H92" t="s">
        <v>1601</v>
      </c>
      <c r="J92" t="s">
        <v>1602</v>
      </c>
      <c r="K92" t="s">
        <v>198</v>
      </c>
      <c r="L92" t="s">
        <v>199</v>
      </c>
      <c r="O92" s="51">
        <v>46304.877083333333</v>
      </c>
      <c r="P92" t="s">
        <v>1603</v>
      </c>
      <c r="Q92" t="s">
        <v>1604</v>
      </c>
      <c r="R92" t="s">
        <v>1605</v>
      </c>
      <c r="S92" t="s">
        <v>1606</v>
      </c>
      <c r="T92" t="s">
        <v>1606</v>
      </c>
    </row>
    <row r="93" spans="1:20" x14ac:dyDescent="0.3">
      <c r="A93">
        <v>15747394</v>
      </c>
      <c r="B93" t="s">
        <v>275</v>
      </c>
      <c r="C93" s="51">
        <v>46302.320138888892</v>
      </c>
      <c r="E93" t="s">
        <v>204</v>
      </c>
      <c r="F93" t="s">
        <v>196</v>
      </c>
      <c r="G93" t="s">
        <v>197</v>
      </c>
      <c r="H93" t="s">
        <v>1607</v>
      </c>
      <c r="J93" t="s">
        <v>1608</v>
      </c>
      <c r="K93" t="s">
        <v>198</v>
      </c>
      <c r="L93" t="s">
        <v>199</v>
      </c>
      <c r="O93" s="51">
        <v>46304.877083333333</v>
      </c>
      <c r="P93" t="s">
        <v>1609</v>
      </c>
      <c r="Q93" t="s">
        <v>424</v>
      </c>
      <c r="R93" t="s">
        <v>425</v>
      </c>
      <c r="S93" t="s">
        <v>1610</v>
      </c>
      <c r="T93" t="s">
        <v>1610</v>
      </c>
    </row>
    <row r="94" spans="1:20" x14ac:dyDescent="0.3">
      <c r="A94">
        <v>15747194</v>
      </c>
      <c r="B94" t="s">
        <v>275</v>
      </c>
      <c r="C94" s="51">
        <v>46302.299305555556</v>
      </c>
      <c r="E94" t="s">
        <v>204</v>
      </c>
      <c r="F94" t="s">
        <v>196</v>
      </c>
      <c r="G94" t="s">
        <v>197</v>
      </c>
      <c r="H94" t="s">
        <v>1611</v>
      </c>
      <c r="J94" t="s">
        <v>1612</v>
      </c>
      <c r="K94" t="s">
        <v>198</v>
      </c>
      <c r="L94" t="s">
        <v>199</v>
      </c>
      <c r="O94" s="51">
        <v>46303.875694444447</v>
      </c>
      <c r="P94" t="s">
        <v>1613</v>
      </c>
      <c r="Q94" t="s">
        <v>424</v>
      </c>
      <c r="R94" t="s">
        <v>425</v>
      </c>
      <c r="S94" t="s">
        <v>1610</v>
      </c>
      <c r="T94" t="s">
        <v>1610</v>
      </c>
    </row>
    <row r="95" spans="1:20" x14ac:dyDescent="0.3">
      <c r="A95">
        <v>15747192</v>
      </c>
      <c r="B95" t="s">
        <v>275</v>
      </c>
      <c r="C95" s="51">
        <v>46302.29583333333</v>
      </c>
      <c r="E95" t="s">
        <v>204</v>
      </c>
      <c r="F95" t="s">
        <v>196</v>
      </c>
      <c r="G95" t="s">
        <v>197</v>
      </c>
      <c r="H95" t="s">
        <v>1614</v>
      </c>
      <c r="J95" t="s">
        <v>1615</v>
      </c>
      <c r="K95" t="s">
        <v>198</v>
      </c>
      <c r="L95" t="s">
        <v>199</v>
      </c>
      <c r="O95" s="51">
        <v>46304.877083333333</v>
      </c>
      <c r="P95" t="s">
        <v>1616</v>
      </c>
      <c r="Q95" t="s">
        <v>424</v>
      </c>
      <c r="R95" t="s">
        <v>425</v>
      </c>
      <c r="S95" t="s">
        <v>1610</v>
      </c>
      <c r="T95" t="s">
        <v>1610</v>
      </c>
    </row>
    <row r="96" spans="1:20" x14ac:dyDescent="0.3">
      <c r="A96">
        <v>15747028</v>
      </c>
      <c r="B96" t="s">
        <v>275</v>
      </c>
      <c r="C96" s="51">
        <v>46302.289583333331</v>
      </c>
      <c r="E96" t="s">
        <v>204</v>
      </c>
      <c r="F96" t="s">
        <v>196</v>
      </c>
      <c r="G96" t="s">
        <v>197</v>
      </c>
      <c r="H96" t="s">
        <v>1617</v>
      </c>
      <c r="J96" t="s">
        <v>1618</v>
      </c>
      <c r="K96" t="s">
        <v>198</v>
      </c>
      <c r="L96" t="s">
        <v>199</v>
      </c>
      <c r="O96" s="51">
        <v>46304.877083333333</v>
      </c>
      <c r="P96" t="s">
        <v>1619</v>
      </c>
      <c r="Q96" t="s">
        <v>424</v>
      </c>
      <c r="R96" t="s">
        <v>425</v>
      </c>
      <c r="S96" t="s">
        <v>1610</v>
      </c>
      <c r="T96" t="s">
        <v>1610</v>
      </c>
    </row>
    <row r="97" spans="1:20" x14ac:dyDescent="0.3">
      <c r="A97">
        <v>15747026</v>
      </c>
      <c r="B97" t="s">
        <v>298</v>
      </c>
      <c r="C97" s="51">
        <v>46302.286111111112</v>
      </c>
      <c r="D97" s="51">
        <v>46304.07708333333</v>
      </c>
      <c r="E97" t="s">
        <v>208</v>
      </c>
      <c r="F97" t="s">
        <v>196</v>
      </c>
      <c r="G97" t="s">
        <v>197</v>
      </c>
      <c r="H97" t="s">
        <v>1620</v>
      </c>
      <c r="K97" t="s">
        <v>198</v>
      </c>
      <c r="L97" t="s">
        <v>209</v>
      </c>
      <c r="O97" s="51">
        <v>46303.876388888886</v>
      </c>
      <c r="P97" t="s">
        <v>1621</v>
      </c>
      <c r="Q97" t="s">
        <v>355</v>
      </c>
      <c r="R97" t="s">
        <v>356</v>
      </c>
      <c r="S97" t="s">
        <v>450</v>
      </c>
      <c r="T97" t="s">
        <v>450</v>
      </c>
    </row>
    <row r="98" spans="1:20" x14ac:dyDescent="0.3">
      <c r="A98">
        <v>15747020</v>
      </c>
      <c r="B98" t="s">
        <v>275</v>
      </c>
      <c r="C98" s="51">
        <v>46302.28125</v>
      </c>
      <c r="E98" t="s">
        <v>195</v>
      </c>
      <c r="F98" t="s">
        <v>196</v>
      </c>
      <c r="G98" t="s">
        <v>197</v>
      </c>
      <c r="H98" t="s">
        <v>1622</v>
      </c>
      <c r="J98" t="s">
        <v>1623</v>
      </c>
      <c r="K98" t="s">
        <v>198</v>
      </c>
      <c r="L98" t="s">
        <v>199</v>
      </c>
      <c r="O98" s="51">
        <v>46303.876388888886</v>
      </c>
      <c r="P98" t="s">
        <v>1624</v>
      </c>
      <c r="Q98" t="s">
        <v>435</v>
      </c>
      <c r="R98" t="s">
        <v>436</v>
      </c>
      <c r="S98" t="s">
        <v>1625</v>
      </c>
      <c r="T98" t="s">
        <v>1625</v>
      </c>
    </row>
    <row r="99" spans="1:20" x14ac:dyDescent="0.3">
      <c r="A99">
        <v>15744392</v>
      </c>
      <c r="B99" t="s">
        <v>194</v>
      </c>
      <c r="C99" s="51">
        <v>46301.793749999997</v>
      </c>
      <c r="E99" t="s">
        <v>256</v>
      </c>
      <c r="F99" t="s">
        <v>196</v>
      </c>
      <c r="G99" t="s">
        <v>197</v>
      </c>
      <c r="H99" t="s">
        <v>1626</v>
      </c>
      <c r="K99" t="s">
        <v>257</v>
      </c>
      <c r="L99" t="s">
        <v>258</v>
      </c>
      <c r="S99" t="s">
        <v>404</v>
      </c>
    </row>
    <row r="100" spans="1:20" x14ac:dyDescent="0.3">
      <c r="A100">
        <v>15743808</v>
      </c>
      <c r="B100" t="s">
        <v>275</v>
      </c>
      <c r="C100" s="51">
        <v>46301.736111111109</v>
      </c>
      <c r="E100" t="s">
        <v>213</v>
      </c>
      <c r="F100" t="s">
        <v>196</v>
      </c>
      <c r="G100" t="s">
        <v>197</v>
      </c>
      <c r="H100" t="s">
        <v>1627</v>
      </c>
      <c r="J100" t="s">
        <v>1628</v>
      </c>
      <c r="K100" t="s">
        <v>249</v>
      </c>
      <c r="L100" t="s">
        <v>199</v>
      </c>
      <c r="O100" s="51">
        <v>46304.876388888886</v>
      </c>
      <c r="P100" t="s">
        <v>1629</v>
      </c>
      <c r="Q100" t="s">
        <v>261</v>
      </c>
      <c r="R100" t="s">
        <v>262</v>
      </c>
      <c r="S100" t="s">
        <v>546</v>
      </c>
      <c r="T100" t="s">
        <v>546</v>
      </c>
    </row>
    <row r="101" spans="1:20" x14ac:dyDescent="0.3">
      <c r="A101">
        <v>15743806</v>
      </c>
      <c r="B101" t="s">
        <v>194</v>
      </c>
      <c r="C101" s="51">
        <v>46301.73541666667</v>
      </c>
      <c r="E101" t="s">
        <v>213</v>
      </c>
      <c r="F101" t="s">
        <v>196</v>
      </c>
      <c r="G101" t="s">
        <v>197</v>
      </c>
      <c r="H101" t="s">
        <v>1630</v>
      </c>
      <c r="K101" t="s">
        <v>249</v>
      </c>
      <c r="L101" t="s">
        <v>199</v>
      </c>
      <c r="Q101" t="s">
        <v>294</v>
      </c>
      <c r="R101" t="s">
        <v>380</v>
      </c>
      <c r="S101" t="s">
        <v>379</v>
      </c>
      <c r="T101" t="s">
        <v>379</v>
      </c>
    </row>
    <row r="102" spans="1:20" x14ac:dyDescent="0.3">
      <c r="A102">
        <v>15743804</v>
      </c>
      <c r="B102" t="s">
        <v>275</v>
      </c>
      <c r="C102" s="51">
        <v>46301.734722222223</v>
      </c>
      <c r="E102" t="s">
        <v>213</v>
      </c>
      <c r="F102" t="s">
        <v>196</v>
      </c>
      <c r="G102" t="s">
        <v>197</v>
      </c>
      <c r="H102" t="s">
        <v>1631</v>
      </c>
      <c r="J102" t="s">
        <v>1632</v>
      </c>
      <c r="K102" t="s">
        <v>249</v>
      </c>
      <c r="L102" t="s">
        <v>199</v>
      </c>
      <c r="O102" s="51">
        <v>46303.875694444447</v>
      </c>
      <c r="P102" t="s">
        <v>1633</v>
      </c>
      <c r="Q102" t="s">
        <v>579</v>
      </c>
      <c r="R102" t="s">
        <v>580</v>
      </c>
      <c r="S102" t="s">
        <v>1634</v>
      </c>
      <c r="T102" t="s">
        <v>1634</v>
      </c>
    </row>
    <row r="103" spans="1:20" x14ac:dyDescent="0.3">
      <c r="A103">
        <v>15743802</v>
      </c>
      <c r="B103" t="s">
        <v>275</v>
      </c>
      <c r="C103" s="51">
        <v>46301.734027777777</v>
      </c>
      <c r="E103" t="s">
        <v>213</v>
      </c>
      <c r="F103" t="s">
        <v>196</v>
      </c>
      <c r="G103" t="s">
        <v>197</v>
      </c>
      <c r="H103" t="s">
        <v>1635</v>
      </c>
      <c r="J103" t="s">
        <v>1636</v>
      </c>
      <c r="K103" t="s">
        <v>249</v>
      </c>
      <c r="L103" t="s">
        <v>199</v>
      </c>
      <c r="O103" s="51">
        <v>46303.875694444447</v>
      </c>
      <c r="P103" t="s">
        <v>1637</v>
      </c>
      <c r="Q103" t="s">
        <v>281</v>
      </c>
      <c r="R103" t="s">
        <v>282</v>
      </c>
      <c r="S103" t="s">
        <v>1638</v>
      </c>
      <c r="T103" t="s">
        <v>1638</v>
      </c>
    </row>
    <row r="104" spans="1:20" x14ac:dyDescent="0.3">
      <c r="A104">
        <v>15743800</v>
      </c>
      <c r="B104" t="s">
        <v>194</v>
      </c>
      <c r="C104" s="51">
        <v>46301.73333333333</v>
      </c>
      <c r="E104" t="s">
        <v>213</v>
      </c>
      <c r="F104" t="s">
        <v>196</v>
      </c>
      <c r="G104" t="s">
        <v>197</v>
      </c>
      <c r="H104" t="s">
        <v>1639</v>
      </c>
      <c r="K104" t="s">
        <v>249</v>
      </c>
      <c r="L104" t="s">
        <v>199</v>
      </c>
      <c r="Q104" t="s">
        <v>1640</v>
      </c>
      <c r="R104" t="s">
        <v>212</v>
      </c>
      <c r="S104" t="s">
        <v>1641</v>
      </c>
      <c r="T104" t="s">
        <v>1641</v>
      </c>
    </row>
    <row r="105" spans="1:20" x14ac:dyDescent="0.3">
      <c r="A105">
        <v>15743796</v>
      </c>
      <c r="B105" t="s">
        <v>275</v>
      </c>
      <c r="C105" s="51">
        <v>46301.732638888891</v>
      </c>
      <c r="E105" t="s">
        <v>213</v>
      </c>
      <c r="F105" t="s">
        <v>196</v>
      </c>
      <c r="G105" t="s">
        <v>197</v>
      </c>
      <c r="H105" t="s">
        <v>1642</v>
      </c>
      <c r="J105" t="s">
        <v>1643</v>
      </c>
      <c r="K105" t="s">
        <v>249</v>
      </c>
      <c r="L105" t="s">
        <v>199</v>
      </c>
      <c r="O105" s="51">
        <v>46304.876388888886</v>
      </c>
      <c r="P105" t="s">
        <v>1644</v>
      </c>
      <c r="Q105" t="s">
        <v>1640</v>
      </c>
      <c r="R105" t="s">
        <v>212</v>
      </c>
      <c r="S105" t="s">
        <v>1641</v>
      </c>
      <c r="T105" t="s">
        <v>1641</v>
      </c>
    </row>
    <row r="106" spans="1:20" x14ac:dyDescent="0.3">
      <c r="A106">
        <v>15743794</v>
      </c>
      <c r="B106" t="s">
        <v>275</v>
      </c>
      <c r="C106" s="51">
        <v>46301.731944444444</v>
      </c>
      <c r="E106" t="s">
        <v>195</v>
      </c>
      <c r="F106" t="s">
        <v>196</v>
      </c>
      <c r="G106" t="s">
        <v>197</v>
      </c>
      <c r="H106" t="s">
        <v>1645</v>
      </c>
      <c r="J106" t="s">
        <v>1646</v>
      </c>
      <c r="K106" t="s">
        <v>249</v>
      </c>
      <c r="L106" t="s">
        <v>199</v>
      </c>
      <c r="O106" s="51">
        <v>46304.876388888886</v>
      </c>
      <c r="P106" t="s">
        <v>1647</v>
      </c>
      <c r="Q106" t="s">
        <v>252</v>
      </c>
      <c r="R106" t="s">
        <v>260</v>
      </c>
      <c r="S106" t="s">
        <v>603</v>
      </c>
      <c r="T106" t="s">
        <v>603</v>
      </c>
    </row>
    <row r="107" spans="1:20" x14ac:dyDescent="0.3">
      <c r="A107">
        <v>15742806</v>
      </c>
      <c r="B107" t="s">
        <v>275</v>
      </c>
      <c r="C107" s="51">
        <v>46301.689583333333</v>
      </c>
      <c r="E107" t="s">
        <v>201</v>
      </c>
      <c r="F107" t="s">
        <v>196</v>
      </c>
      <c r="G107" t="s">
        <v>197</v>
      </c>
      <c r="H107" t="s">
        <v>1648</v>
      </c>
      <c r="J107" t="s">
        <v>1649</v>
      </c>
      <c r="K107" t="s">
        <v>198</v>
      </c>
      <c r="L107" t="s">
        <v>199</v>
      </c>
      <c r="O107" s="51">
        <v>46303.876388888886</v>
      </c>
      <c r="P107" t="s">
        <v>1650</v>
      </c>
      <c r="Q107" t="s">
        <v>377</v>
      </c>
      <c r="R107" t="s">
        <v>378</v>
      </c>
      <c r="S107" t="s">
        <v>589</v>
      </c>
      <c r="T107" t="s">
        <v>589</v>
      </c>
    </row>
    <row r="108" spans="1:20" x14ac:dyDescent="0.3">
      <c r="A108">
        <v>15742714</v>
      </c>
      <c r="B108" t="s">
        <v>275</v>
      </c>
      <c r="C108" s="51">
        <v>46301.6875</v>
      </c>
      <c r="E108" t="s">
        <v>205</v>
      </c>
      <c r="F108" t="s">
        <v>196</v>
      </c>
      <c r="G108" t="s">
        <v>197</v>
      </c>
      <c r="H108" t="s">
        <v>1651</v>
      </c>
      <c r="J108" t="s">
        <v>1652</v>
      </c>
      <c r="K108" t="s">
        <v>198</v>
      </c>
      <c r="L108" t="s">
        <v>199</v>
      </c>
      <c r="O108" s="51">
        <v>46303.876388888886</v>
      </c>
      <c r="P108" t="s">
        <v>1653</v>
      </c>
      <c r="Q108" t="s">
        <v>453</v>
      </c>
      <c r="R108" t="s">
        <v>454</v>
      </c>
      <c r="S108" t="s">
        <v>1654</v>
      </c>
      <c r="T108" t="s">
        <v>1654</v>
      </c>
    </row>
    <row r="109" spans="1:20" x14ac:dyDescent="0.3">
      <c r="A109">
        <v>15742670</v>
      </c>
      <c r="B109" t="s">
        <v>275</v>
      </c>
      <c r="C109" s="51">
        <v>46301.680555555555</v>
      </c>
      <c r="E109" t="s">
        <v>201</v>
      </c>
      <c r="F109" t="s">
        <v>196</v>
      </c>
      <c r="G109" t="s">
        <v>197</v>
      </c>
      <c r="H109" t="s">
        <v>1655</v>
      </c>
      <c r="J109" t="s">
        <v>1656</v>
      </c>
      <c r="K109" t="s">
        <v>198</v>
      </c>
      <c r="L109" t="s">
        <v>199</v>
      </c>
      <c r="O109" s="51">
        <v>46304.875694444447</v>
      </c>
      <c r="P109" t="s">
        <v>1657</v>
      </c>
      <c r="Q109" t="s">
        <v>261</v>
      </c>
      <c r="R109" t="s">
        <v>428</v>
      </c>
      <c r="S109" t="s">
        <v>1658</v>
      </c>
      <c r="T109" t="s">
        <v>1658</v>
      </c>
    </row>
    <row r="110" spans="1:20" x14ac:dyDescent="0.3">
      <c r="A110">
        <v>15742642</v>
      </c>
      <c r="B110" t="s">
        <v>275</v>
      </c>
      <c r="C110" s="51">
        <v>46301.674305555556</v>
      </c>
      <c r="E110" t="s">
        <v>317</v>
      </c>
      <c r="F110" t="s">
        <v>196</v>
      </c>
      <c r="G110" t="s">
        <v>197</v>
      </c>
      <c r="H110" t="s">
        <v>1659</v>
      </c>
      <c r="J110" t="s">
        <v>1660</v>
      </c>
      <c r="K110" t="s">
        <v>249</v>
      </c>
      <c r="L110" t="s">
        <v>199</v>
      </c>
      <c r="O110" s="51">
        <v>46303.877083333333</v>
      </c>
      <c r="P110" t="s">
        <v>1661</v>
      </c>
      <c r="Q110" t="s">
        <v>218</v>
      </c>
      <c r="R110" t="s">
        <v>302</v>
      </c>
      <c r="S110" t="s">
        <v>402</v>
      </c>
      <c r="T110" t="s">
        <v>402</v>
      </c>
    </row>
    <row r="111" spans="1:20" x14ac:dyDescent="0.3">
      <c r="A111">
        <v>15742634</v>
      </c>
      <c r="B111" t="s">
        <v>275</v>
      </c>
      <c r="C111" s="51">
        <v>46301.673611111109</v>
      </c>
      <c r="E111" t="s">
        <v>195</v>
      </c>
      <c r="F111" t="s">
        <v>196</v>
      </c>
      <c r="G111" t="s">
        <v>197</v>
      </c>
      <c r="H111" t="s">
        <v>1662</v>
      </c>
      <c r="J111" t="s">
        <v>1663</v>
      </c>
      <c r="K111" t="s">
        <v>249</v>
      </c>
      <c r="L111" t="s">
        <v>199</v>
      </c>
      <c r="O111" s="51">
        <v>46303.876388888886</v>
      </c>
      <c r="P111" t="s">
        <v>1664</v>
      </c>
      <c r="Q111" t="s">
        <v>238</v>
      </c>
      <c r="R111" t="s">
        <v>239</v>
      </c>
      <c r="S111" t="s">
        <v>382</v>
      </c>
      <c r="T111" t="s">
        <v>382</v>
      </c>
    </row>
    <row r="112" spans="1:20" x14ac:dyDescent="0.3">
      <c r="A112">
        <v>15742624</v>
      </c>
      <c r="B112" t="s">
        <v>275</v>
      </c>
      <c r="C112" s="51">
        <v>46301.67291666667</v>
      </c>
      <c r="E112" t="s">
        <v>205</v>
      </c>
      <c r="F112" t="s">
        <v>196</v>
      </c>
      <c r="G112" t="s">
        <v>197</v>
      </c>
      <c r="H112" t="s">
        <v>1665</v>
      </c>
      <c r="J112" t="s">
        <v>1666</v>
      </c>
      <c r="K112" t="s">
        <v>249</v>
      </c>
      <c r="L112" t="s">
        <v>199</v>
      </c>
      <c r="O112" s="51">
        <v>46304.876388888886</v>
      </c>
      <c r="P112" t="s">
        <v>1667</v>
      </c>
      <c r="Q112" t="s">
        <v>309</v>
      </c>
      <c r="R112" t="s">
        <v>310</v>
      </c>
      <c r="S112" t="s">
        <v>1668</v>
      </c>
      <c r="T112" t="s">
        <v>1668</v>
      </c>
    </row>
    <row r="113" spans="1:20" x14ac:dyDescent="0.3">
      <c r="A113">
        <v>15742618</v>
      </c>
      <c r="B113" t="s">
        <v>298</v>
      </c>
      <c r="C113" s="51">
        <v>46301.672222222223</v>
      </c>
      <c r="D113" s="51">
        <v>46305.074305555558</v>
      </c>
      <c r="E113" t="s">
        <v>208</v>
      </c>
      <c r="F113" t="s">
        <v>196</v>
      </c>
      <c r="G113" t="s">
        <v>197</v>
      </c>
      <c r="H113" t="s">
        <v>1669</v>
      </c>
      <c r="K113" t="s">
        <v>249</v>
      </c>
      <c r="L113" t="s">
        <v>209</v>
      </c>
      <c r="O113" s="51">
        <v>46304.875694444447</v>
      </c>
      <c r="P113" t="s">
        <v>1670</v>
      </c>
      <c r="Q113" t="s">
        <v>304</v>
      </c>
      <c r="R113" t="s">
        <v>305</v>
      </c>
      <c r="S113" t="s">
        <v>547</v>
      </c>
      <c r="T113" t="s">
        <v>547</v>
      </c>
    </row>
    <row r="114" spans="1:20" x14ac:dyDescent="0.3">
      <c r="A114">
        <v>15742606</v>
      </c>
      <c r="B114" t="s">
        <v>275</v>
      </c>
      <c r="C114" s="51">
        <v>46301.670138888891</v>
      </c>
      <c r="E114" t="s">
        <v>205</v>
      </c>
      <c r="F114" t="s">
        <v>196</v>
      </c>
      <c r="G114" t="s">
        <v>197</v>
      </c>
      <c r="H114" t="s">
        <v>1671</v>
      </c>
      <c r="J114" t="s">
        <v>1672</v>
      </c>
      <c r="K114" t="s">
        <v>249</v>
      </c>
      <c r="L114" t="s">
        <v>199</v>
      </c>
      <c r="O114" s="51">
        <v>46304.875694444447</v>
      </c>
      <c r="P114" t="s">
        <v>1673</v>
      </c>
      <c r="Q114" t="s">
        <v>309</v>
      </c>
      <c r="R114" t="s">
        <v>310</v>
      </c>
      <c r="S114" t="s">
        <v>1668</v>
      </c>
      <c r="T114" t="s">
        <v>1668</v>
      </c>
    </row>
    <row r="115" spans="1:20" x14ac:dyDescent="0.3">
      <c r="A115">
        <v>15742604</v>
      </c>
      <c r="B115" t="s">
        <v>298</v>
      </c>
      <c r="C115" s="51">
        <v>46301.669444444444</v>
      </c>
      <c r="D115" s="51">
        <v>46304.07708333333</v>
      </c>
      <c r="E115" t="s">
        <v>208</v>
      </c>
      <c r="F115" t="s">
        <v>196</v>
      </c>
      <c r="G115" t="s">
        <v>197</v>
      </c>
      <c r="H115" t="s">
        <v>1674</v>
      </c>
      <c r="K115" t="s">
        <v>249</v>
      </c>
      <c r="L115" t="s">
        <v>209</v>
      </c>
      <c r="O115" s="51">
        <v>46303.875694444447</v>
      </c>
      <c r="P115" t="s">
        <v>1675</v>
      </c>
      <c r="Q115" t="s">
        <v>304</v>
      </c>
      <c r="R115" t="s">
        <v>305</v>
      </c>
      <c r="S115" t="s">
        <v>547</v>
      </c>
      <c r="T115" t="s">
        <v>547</v>
      </c>
    </row>
    <row r="116" spans="1:20" x14ac:dyDescent="0.3">
      <c r="A116">
        <v>15742598</v>
      </c>
      <c r="B116" t="s">
        <v>298</v>
      </c>
      <c r="C116" s="51">
        <v>46301.668749999997</v>
      </c>
      <c r="D116" s="51">
        <v>46305.074305555558</v>
      </c>
      <c r="E116" t="s">
        <v>208</v>
      </c>
      <c r="F116" t="s">
        <v>196</v>
      </c>
      <c r="G116" t="s">
        <v>197</v>
      </c>
      <c r="H116" t="s">
        <v>1676</v>
      </c>
      <c r="K116" t="s">
        <v>198</v>
      </c>
      <c r="L116" t="s">
        <v>209</v>
      </c>
      <c r="O116" s="51">
        <v>46304.876388888886</v>
      </c>
      <c r="P116" t="s">
        <v>1677</v>
      </c>
      <c r="Q116" t="s">
        <v>433</v>
      </c>
      <c r="R116" t="s">
        <v>434</v>
      </c>
      <c r="S116" t="s">
        <v>432</v>
      </c>
      <c r="T116" t="s">
        <v>432</v>
      </c>
    </row>
    <row r="117" spans="1:20" x14ac:dyDescent="0.3">
      <c r="A117">
        <v>15742596</v>
      </c>
      <c r="B117" t="s">
        <v>255</v>
      </c>
      <c r="C117" s="51">
        <v>46301.668749999997</v>
      </c>
      <c r="E117" t="s">
        <v>213</v>
      </c>
      <c r="F117" t="s">
        <v>196</v>
      </c>
      <c r="G117" t="s">
        <v>197</v>
      </c>
      <c r="H117" t="s">
        <v>1678</v>
      </c>
      <c r="K117" t="s">
        <v>249</v>
      </c>
      <c r="L117" t="s">
        <v>199</v>
      </c>
      <c r="M117" s="51">
        <v>46304.416666666664</v>
      </c>
      <c r="N117" t="s">
        <v>568</v>
      </c>
      <c r="Q117" t="s">
        <v>342</v>
      </c>
      <c r="R117" t="s">
        <v>343</v>
      </c>
      <c r="S117" t="s">
        <v>341</v>
      </c>
      <c r="T117" t="s">
        <v>341</v>
      </c>
    </row>
    <row r="118" spans="1:20" x14ac:dyDescent="0.3">
      <c r="A118">
        <v>15742474</v>
      </c>
      <c r="B118" t="s">
        <v>275</v>
      </c>
      <c r="C118" s="51">
        <v>46301.668055555558</v>
      </c>
      <c r="E118" t="s">
        <v>201</v>
      </c>
      <c r="F118" t="s">
        <v>196</v>
      </c>
      <c r="G118" t="s">
        <v>197</v>
      </c>
      <c r="H118" t="s">
        <v>1679</v>
      </c>
      <c r="J118" t="s">
        <v>1680</v>
      </c>
      <c r="K118" t="s">
        <v>249</v>
      </c>
      <c r="L118" t="s">
        <v>199</v>
      </c>
      <c r="O118" s="51">
        <v>46304.877083333333</v>
      </c>
      <c r="P118" t="s">
        <v>1681</v>
      </c>
      <c r="Q118" t="s">
        <v>1682</v>
      </c>
      <c r="R118" t="s">
        <v>1683</v>
      </c>
      <c r="S118" t="s">
        <v>1684</v>
      </c>
      <c r="T118" t="s">
        <v>1684</v>
      </c>
    </row>
    <row r="119" spans="1:20" x14ac:dyDescent="0.3">
      <c r="A119">
        <v>15742464</v>
      </c>
      <c r="B119" t="s">
        <v>275</v>
      </c>
      <c r="C119" s="51">
        <v>46301.665277777778</v>
      </c>
      <c r="E119" t="s">
        <v>205</v>
      </c>
      <c r="F119" t="s">
        <v>196</v>
      </c>
      <c r="G119" t="s">
        <v>197</v>
      </c>
      <c r="H119" t="s">
        <v>1685</v>
      </c>
      <c r="J119" t="s">
        <v>1686</v>
      </c>
      <c r="K119" t="s">
        <v>249</v>
      </c>
      <c r="L119" t="s">
        <v>199</v>
      </c>
      <c r="O119" s="51">
        <v>46304.876388888886</v>
      </c>
      <c r="P119" t="s">
        <v>1687</v>
      </c>
      <c r="Q119" t="s">
        <v>401</v>
      </c>
      <c r="R119" t="s">
        <v>408</v>
      </c>
      <c r="S119" t="s">
        <v>1688</v>
      </c>
      <c r="T119" t="s">
        <v>1688</v>
      </c>
    </row>
    <row r="120" spans="1:20" x14ac:dyDescent="0.3">
      <c r="A120">
        <v>15742462</v>
      </c>
      <c r="B120" t="s">
        <v>275</v>
      </c>
      <c r="C120" s="51">
        <v>46301.664583333331</v>
      </c>
      <c r="E120" t="s">
        <v>213</v>
      </c>
      <c r="F120" t="s">
        <v>196</v>
      </c>
      <c r="G120" t="s">
        <v>197</v>
      </c>
      <c r="H120" t="s">
        <v>1689</v>
      </c>
      <c r="J120" t="s">
        <v>1690</v>
      </c>
      <c r="K120" t="s">
        <v>198</v>
      </c>
      <c r="L120" t="s">
        <v>199</v>
      </c>
      <c r="O120" s="51">
        <v>46303.875694444447</v>
      </c>
      <c r="P120" t="s">
        <v>1691</v>
      </c>
      <c r="Q120" t="s">
        <v>433</v>
      </c>
      <c r="R120" t="s">
        <v>434</v>
      </c>
      <c r="S120" t="s">
        <v>432</v>
      </c>
      <c r="T120" t="s">
        <v>432</v>
      </c>
    </row>
    <row r="121" spans="1:20" x14ac:dyDescent="0.3">
      <c r="A121">
        <v>15742438</v>
      </c>
      <c r="B121" t="s">
        <v>275</v>
      </c>
      <c r="C121" s="51">
        <v>46301.657638888886</v>
      </c>
      <c r="E121" t="s">
        <v>195</v>
      </c>
      <c r="F121" t="s">
        <v>196</v>
      </c>
      <c r="G121" t="s">
        <v>197</v>
      </c>
      <c r="H121" t="s">
        <v>1692</v>
      </c>
      <c r="J121" t="s">
        <v>1693</v>
      </c>
      <c r="K121" t="s">
        <v>198</v>
      </c>
      <c r="L121" t="s">
        <v>199</v>
      </c>
      <c r="O121" s="51">
        <v>46304.875694444447</v>
      </c>
      <c r="P121" t="s">
        <v>1694</v>
      </c>
      <c r="Q121" t="s">
        <v>290</v>
      </c>
      <c r="R121" t="s">
        <v>291</v>
      </c>
      <c r="S121" t="s">
        <v>549</v>
      </c>
      <c r="T121" t="s">
        <v>549</v>
      </c>
    </row>
    <row r="122" spans="1:20" x14ac:dyDescent="0.3">
      <c r="A122">
        <v>15742420</v>
      </c>
      <c r="B122" t="s">
        <v>275</v>
      </c>
      <c r="C122" s="51">
        <v>46301.652083333334</v>
      </c>
      <c r="E122" t="s">
        <v>213</v>
      </c>
      <c r="F122" t="s">
        <v>196</v>
      </c>
      <c r="G122" t="s">
        <v>197</v>
      </c>
      <c r="H122" t="s">
        <v>1695</v>
      </c>
      <c r="J122" t="s">
        <v>1696</v>
      </c>
      <c r="K122" t="s">
        <v>198</v>
      </c>
      <c r="L122" t="s">
        <v>199</v>
      </c>
      <c r="O122" s="51">
        <v>46304.877083333333</v>
      </c>
      <c r="P122" t="s">
        <v>1697</v>
      </c>
      <c r="Q122" t="s">
        <v>292</v>
      </c>
      <c r="R122" t="s">
        <v>293</v>
      </c>
      <c r="S122" t="s">
        <v>437</v>
      </c>
      <c r="T122" t="s">
        <v>437</v>
      </c>
    </row>
    <row r="123" spans="1:20" x14ac:dyDescent="0.3">
      <c r="A123">
        <v>15741906</v>
      </c>
      <c r="B123" t="s">
        <v>194</v>
      </c>
      <c r="C123" s="51">
        <v>46301.625</v>
      </c>
      <c r="E123" t="s">
        <v>195</v>
      </c>
      <c r="F123" t="s">
        <v>196</v>
      </c>
      <c r="G123" t="s">
        <v>197</v>
      </c>
      <c r="H123" t="s">
        <v>1698</v>
      </c>
      <c r="K123" t="s">
        <v>198</v>
      </c>
      <c r="L123" t="s">
        <v>199</v>
      </c>
      <c r="Q123" t="s">
        <v>272</v>
      </c>
      <c r="R123" t="s">
        <v>301</v>
      </c>
      <c r="S123" t="s">
        <v>1699</v>
      </c>
      <c r="T123" t="s">
        <v>1699</v>
      </c>
    </row>
    <row r="124" spans="1:20" x14ac:dyDescent="0.3">
      <c r="A124">
        <v>15741808</v>
      </c>
      <c r="B124" t="s">
        <v>275</v>
      </c>
      <c r="C124" s="51">
        <v>46301.606249999997</v>
      </c>
      <c r="E124" t="s">
        <v>1700</v>
      </c>
      <c r="F124" t="s">
        <v>196</v>
      </c>
      <c r="G124" t="s">
        <v>197</v>
      </c>
      <c r="H124" t="s">
        <v>1701</v>
      </c>
      <c r="J124" t="s">
        <v>1702</v>
      </c>
      <c r="K124" t="s">
        <v>349</v>
      </c>
      <c r="L124" t="s">
        <v>199</v>
      </c>
      <c r="O124" s="51">
        <v>46304.876388888886</v>
      </c>
      <c r="P124" t="s">
        <v>1703</v>
      </c>
      <c r="Q124" t="s">
        <v>623</v>
      </c>
      <c r="R124" t="s">
        <v>624</v>
      </c>
      <c r="S124" t="s">
        <v>622</v>
      </c>
      <c r="T124" t="s">
        <v>622</v>
      </c>
    </row>
    <row r="125" spans="1:20" x14ac:dyDescent="0.3">
      <c r="A125">
        <v>15741418</v>
      </c>
      <c r="B125" t="s">
        <v>275</v>
      </c>
      <c r="C125" s="51">
        <v>46301.570833333331</v>
      </c>
      <c r="E125" t="s">
        <v>204</v>
      </c>
      <c r="F125" t="s">
        <v>196</v>
      </c>
      <c r="G125" t="s">
        <v>197</v>
      </c>
      <c r="H125" t="s">
        <v>1704</v>
      </c>
      <c r="J125" t="s">
        <v>1705</v>
      </c>
      <c r="K125" t="s">
        <v>198</v>
      </c>
      <c r="L125" t="s">
        <v>199</v>
      </c>
      <c r="O125" s="51">
        <v>46302.876388888886</v>
      </c>
      <c r="P125" t="s">
        <v>1706</v>
      </c>
      <c r="Q125" t="s">
        <v>366</v>
      </c>
      <c r="R125" t="s">
        <v>367</v>
      </c>
      <c r="S125" t="s">
        <v>592</v>
      </c>
      <c r="T125" t="s">
        <v>592</v>
      </c>
    </row>
    <row r="126" spans="1:20" x14ac:dyDescent="0.3">
      <c r="A126">
        <v>15741248</v>
      </c>
      <c r="B126" t="s">
        <v>275</v>
      </c>
      <c r="C126" s="51">
        <v>46301.5625</v>
      </c>
      <c r="E126" t="s">
        <v>201</v>
      </c>
      <c r="F126" t="s">
        <v>196</v>
      </c>
      <c r="G126" t="s">
        <v>197</v>
      </c>
      <c r="H126" t="s">
        <v>1707</v>
      </c>
      <c r="J126" t="s">
        <v>1708</v>
      </c>
      <c r="K126" t="s">
        <v>198</v>
      </c>
      <c r="L126" t="s">
        <v>199</v>
      </c>
      <c r="O126" s="51">
        <v>46302.875694444447</v>
      </c>
      <c r="P126" t="s">
        <v>1709</v>
      </c>
      <c r="Q126" t="s">
        <v>247</v>
      </c>
      <c r="R126" t="s">
        <v>350</v>
      </c>
      <c r="S126" t="s">
        <v>1710</v>
      </c>
      <c r="T126" t="s">
        <v>1710</v>
      </c>
    </row>
    <row r="127" spans="1:20" x14ac:dyDescent="0.3">
      <c r="A127">
        <v>15741234</v>
      </c>
      <c r="B127" t="s">
        <v>298</v>
      </c>
      <c r="C127" s="51">
        <v>46301.558333333334</v>
      </c>
      <c r="D127" s="51">
        <v>46304.07708333333</v>
      </c>
      <c r="E127" t="s">
        <v>208</v>
      </c>
      <c r="F127" t="s">
        <v>196</v>
      </c>
      <c r="G127" t="s">
        <v>197</v>
      </c>
      <c r="H127" t="s">
        <v>1711</v>
      </c>
      <c r="K127" t="s">
        <v>198</v>
      </c>
      <c r="L127" t="s">
        <v>209</v>
      </c>
      <c r="O127" s="51">
        <v>46303.876388888886</v>
      </c>
      <c r="P127" t="s">
        <v>1712</v>
      </c>
      <c r="Q127" t="s">
        <v>247</v>
      </c>
      <c r="R127" t="s">
        <v>350</v>
      </c>
      <c r="S127" t="s">
        <v>1710</v>
      </c>
      <c r="T127" t="s">
        <v>1710</v>
      </c>
    </row>
    <row r="128" spans="1:20" x14ac:dyDescent="0.3">
      <c r="A128">
        <v>15741200</v>
      </c>
      <c r="B128" t="s">
        <v>275</v>
      </c>
      <c r="C128" s="51">
        <v>46301.546527777777</v>
      </c>
      <c r="E128" t="s">
        <v>195</v>
      </c>
      <c r="F128" t="s">
        <v>196</v>
      </c>
      <c r="G128" t="s">
        <v>197</v>
      </c>
      <c r="H128" t="s">
        <v>1713</v>
      </c>
      <c r="J128" t="s">
        <v>1714</v>
      </c>
      <c r="K128" t="s">
        <v>198</v>
      </c>
      <c r="L128" t="s">
        <v>199</v>
      </c>
      <c r="O128" s="51">
        <v>46303.877083333333</v>
      </c>
      <c r="P128" t="s">
        <v>1715</v>
      </c>
      <c r="Q128" t="s">
        <v>247</v>
      </c>
      <c r="R128" t="s">
        <v>350</v>
      </c>
      <c r="S128" t="s">
        <v>572</v>
      </c>
      <c r="T128" t="s">
        <v>572</v>
      </c>
    </row>
    <row r="129" spans="1:20" x14ac:dyDescent="0.3">
      <c r="A129">
        <v>15740820</v>
      </c>
      <c r="B129" t="s">
        <v>275</v>
      </c>
      <c r="C129" s="51">
        <v>46301.513194444444</v>
      </c>
      <c r="E129" t="s">
        <v>204</v>
      </c>
      <c r="F129" t="s">
        <v>196</v>
      </c>
      <c r="G129" t="s">
        <v>197</v>
      </c>
      <c r="H129" t="s">
        <v>1716</v>
      </c>
      <c r="J129" t="s">
        <v>1717</v>
      </c>
      <c r="K129" t="s">
        <v>198</v>
      </c>
      <c r="L129" t="s">
        <v>199</v>
      </c>
      <c r="O129" s="51">
        <v>46302.875694444447</v>
      </c>
      <c r="P129" t="s">
        <v>1718</v>
      </c>
      <c r="Q129" t="s">
        <v>409</v>
      </c>
      <c r="R129" t="s">
        <v>410</v>
      </c>
      <c r="S129" t="s">
        <v>594</v>
      </c>
      <c r="T129" t="s">
        <v>594</v>
      </c>
    </row>
    <row r="130" spans="1:20" x14ac:dyDescent="0.3">
      <c r="A130">
        <v>15740812</v>
      </c>
      <c r="B130" t="s">
        <v>275</v>
      </c>
      <c r="C130" s="51">
        <v>46301.507638888892</v>
      </c>
      <c r="E130" t="s">
        <v>213</v>
      </c>
      <c r="F130" t="s">
        <v>196</v>
      </c>
      <c r="G130" t="s">
        <v>197</v>
      </c>
      <c r="H130" t="s">
        <v>1719</v>
      </c>
      <c r="J130" t="s">
        <v>1720</v>
      </c>
      <c r="K130" t="s">
        <v>198</v>
      </c>
      <c r="L130" t="s">
        <v>199</v>
      </c>
      <c r="O130" s="51">
        <v>46302.875694444447</v>
      </c>
      <c r="P130" t="s">
        <v>1721</v>
      </c>
      <c r="Q130" t="s">
        <v>270</v>
      </c>
      <c r="R130" t="s">
        <v>448</v>
      </c>
      <c r="S130" t="s">
        <v>456</v>
      </c>
      <c r="T130" t="s">
        <v>456</v>
      </c>
    </row>
    <row r="131" spans="1:20" x14ac:dyDescent="0.3">
      <c r="A131">
        <v>15740806</v>
      </c>
      <c r="B131" t="s">
        <v>255</v>
      </c>
      <c r="C131" s="51">
        <v>46301.504166666666</v>
      </c>
      <c r="E131" t="s">
        <v>195</v>
      </c>
      <c r="F131" t="s">
        <v>196</v>
      </c>
      <c r="G131" t="s">
        <v>197</v>
      </c>
      <c r="H131" t="s">
        <v>1722</v>
      </c>
      <c r="J131" t="s">
        <v>1723</v>
      </c>
      <c r="K131" t="s">
        <v>198</v>
      </c>
      <c r="L131" t="s">
        <v>199</v>
      </c>
      <c r="M131" s="51">
        <v>46302.688194444447</v>
      </c>
      <c r="N131" t="s">
        <v>595</v>
      </c>
      <c r="O131" s="51">
        <v>46302.876388888886</v>
      </c>
      <c r="P131" t="s">
        <v>1724</v>
      </c>
      <c r="Q131" t="s">
        <v>421</v>
      </c>
      <c r="R131" t="s">
        <v>422</v>
      </c>
      <c r="S131" t="s">
        <v>420</v>
      </c>
      <c r="T131" t="s">
        <v>420</v>
      </c>
    </row>
    <row r="132" spans="1:20" x14ac:dyDescent="0.3">
      <c r="A132">
        <v>15740314</v>
      </c>
      <c r="B132" t="s">
        <v>1414</v>
      </c>
      <c r="C132" s="51">
        <v>46301.456944444442</v>
      </c>
      <c r="E132" t="s">
        <v>1415</v>
      </c>
      <c r="F132" t="s">
        <v>196</v>
      </c>
      <c r="G132" t="s">
        <v>197</v>
      </c>
      <c r="H132" t="s">
        <v>1725</v>
      </c>
      <c r="K132" t="s">
        <v>1417</v>
      </c>
      <c r="L132" t="s">
        <v>1418</v>
      </c>
    </row>
    <row r="133" spans="1:20" x14ac:dyDescent="0.3">
      <c r="A133">
        <v>15740234</v>
      </c>
      <c r="B133" t="s">
        <v>275</v>
      </c>
      <c r="C133" s="51">
        <v>46301.447916666664</v>
      </c>
      <c r="E133" t="s">
        <v>204</v>
      </c>
      <c r="F133" t="s">
        <v>196</v>
      </c>
      <c r="G133" t="s">
        <v>197</v>
      </c>
      <c r="H133" t="s">
        <v>1726</v>
      </c>
      <c r="J133" t="s">
        <v>1727</v>
      </c>
      <c r="K133" t="s">
        <v>198</v>
      </c>
      <c r="L133" t="s">
        <v>199</v>
      </c>
      <c r="O133" s="51">
        <v>46303.876388888886</v>
      </c>
      <c r="P133" t="s">
        <v>1728</v>
      </c>
      <c r="Q133" t="s">
        <v>335</v>
      </c>
      <c r="R133" t="s">
        <v>336</v>
      </c>
      <c r="S133" t="s">
        <v>411</v>
      </c>
      <c r="T133" t="s">
        <v>411</v>
      </c>
    </row>
    <row r="134" spans="1:20" x14ac:dyDescent="0.3">
      <c r="A134">
        <v>15740200</v>
      </c>
      <c r="B134" t="s">
        <v>275</v>
      </c>
      <c r="C134" s="51">
        <v>46301.441666666666</v>
      </c>
      <c r="E134" t="s">
        <v>195</v>
      </c>
      <c r="F134" t="s">
        <v>196</v>
      </c>
      <c r="G134" t="s">
        <v>197</v>
      </c>
      <c r="H134" t="s">
        <v>1729</v>
      </c>
      <c r="J134" t="s">
        <v>1730</v>
      </c>
      <c r="K134" t="s">
        <v>198</v>
      </c>
      <c r="L134" t="s">
        <v>199</v>
      </c>
      <c r="O134" s="51">
        <v>46302.876388888886</v>
      </c>
      <c r="P134" t="s">
        <v>1731</v>
      </c>
      <c r="Q134" t="s">
        <v>344</v>
      </c>
      <c r="R134" t="s">
        <v>345</v>
      </c>
      <c r="S134" t="s">
        <v>1732</v>
      </c>
      <c r="T134" t="s">
        <v>1732</v>
      </c>
    </row>
    <row r="135" spans="1:20" x14ac:dyDescent="0.3">
      <c r="A135">
        <v>15740082</v>
      </c>
      <c r="B135" t="s">
        <v>275</v>
      </c>
      <c r="C135" s="51">
        <v>46301.434027777781</v>
      </c>
      <c r="E135" t="s">
        <v>213</v>
      </c>
      <c r="F135" t="s">
        <v>196</v>
      </c>
      <c r="G135" t="s">
        <v>197</v>
      </c>
      <c r="H135" t="s">
        <v>1733</v>
      </c>
      <c r="J135" t="s">
        <v>1734</v>
      </c>
      <c r="K135" t="s">
        <v>198</v>
      </c>
      <c r="L135" t="s">
        <v>199</v>
      </c>
      <c r="O135" s="51">
        <v>46302.876388888886</v>
      </c>
      <c r="P135" t="s">
        <v>1735</v>
      </c>
      <c r="Q135" t="s">
        <v>342</v>
      </c>
      <c r="R135" t="s">
        <v>343</v>
      </c>
      <c r="S135" t="s">
        <v>575</v>
      </c>
      <c r="T135" t="s">
        <v>575</v>
      </c>
    </row>
    <row r="136" spans="1:20" x14ac:dyDescent="0.3">
      <c r="A136">
        <v>15739920</v>
      </c>
      <c r="B136" t="s">
        <v>275</v>
      </c>
      <c r="C136" s="51">
        <v>46301.417361111111</v>
      </c>
      <c r="E136" t="s">
        <v>213</v>
      </c>
      <c r="F136" t="s">
        <v>196</v>
      </c>
      <c r="G136" t="s">
        <v>197</v>
      </c>
      <c r="H136" t="s">
        <v>1736</v>
      </c>
      <c r="J136" t="s">
        <v>1737</v>
      </c>
      <c r="K136" t="s">
        <v>198</v>
      </c>
      <c r="L136" t="s">
        <v>199</v>
      </c>
      <c r="O136" s="51">
        <v>46302.875694444447</v>
      </c>
      <c r="P136" t="s">
        <v>1738</v>
      </c>
      <c r="Q136" t="s">
        <v>261</v>
      </c>
      <c r="R136" t="s">
        <v>428</v>
      </c>
      <c r="S136" t="s">
        <v>427</v>
      </c>
      <c r="T136" t="s">
        <v>427</v>
      </c>
    </row>
    <row r="137" spans="1:20" x14ac:dyDescent="0.3">
      <c r="A137">
        <v>15739832</v>
      </c>
      <c r="B137" t="s">
        <v>275</v>
      </c>
      <c r="C137" s="51">
        <v>46301.40625</v>
      </c>
      <c r="E137" t="s">
        <v>195</v>
      </c>
      <c r="F137" t="s">
        <v>196</v>
      </c>
      <c r="G137" t="s">
        <v>197</v>
      </c>
      <c r="H137" t="s">
        <v>1739</v>
      </c>
      <c r="J137" t="s">
        <v>1740</v>
      </c>
      <c r="K137" t="s">
        <v>198</v>
      </c>
      <c r="L137" t="s">
        <v>199</v>
      </c>
      <c r="O137" s="51">
        <v>46302.876388888886</v>
      </c>
      <c r="P137" t="s">
        <v>1741</v>
      </c>
      <c r="Q137" t="s">
        <v>320</v>
      </c>
      <c r="R137" t="s">
        <v>321</v>
      </c>
      <c r="S137" t="s">
        <v>1742</v>
      </c>
      <c r="T137" t="s">
        <v>1742</v>
      </c>
    </row>
    <row r="138" spans="1:20" x14ac:dyDescent="0.3">
      <c r="A138">
        <v>15739802</v>
      </c>
      <c r="B138" t="s">
        <v>275</v>
      </c>
      <c r="C138" s="51">
        <v>46301.399305555555</v>
      </c>
      <c r="E138" t="s">
        <v>213</v>
      </c>
      <c r="F138" t="s">
        <v>196</v>
      </c>
      <c r="G138" t="s">
        <v>197</v>
      </c>
      <c r="H138" t="s">
        <v>1743</v>
      </c>
      <c r="J138" t="s">
        <v>1744</v>
      </c>
      <c r="K138" t="s">
        <v>198</v>
      </c>
      <c r="L138" t="s">
        <v>199</v>
      </c>
      <c r="O138" s="51">
        <v>46302.876388888886</v>
      </c>
      <c r="P138" t="s">
        <v>1745</v>
      </c>
      <c r="Q138" t="s">
        <v>320</v>
      </c>
      <c r="R138" t="s">
        <v>321</v>
      </c>
      <c r="S138" t="s">
        <v>1742</v>
      </c>
      <c r="T138" t="s">
        <v>1742</v>
      </c>
    </row>
    <row r="139" spans="1:20" x14ac:dyDescent="0.3">
      <c r="A139">
        <v>15739626</v>
      </c>
      <c r="B139" t="s">
        <v>275</v>
      </c>
      <c r="C139" s="51">
        <v>46301.386805555558</v>
      </c>
      <c r="E139" t="s">
        <v>201</v>
      </c>
      <c r="F139" t="s">
        <v>196</v>
      </c>
      <c r="G139" t="s">
        <v>197</v>
      </c>
      <c r="H139" t="s">
        <v>1746</v>
      </c>
      <c r="J139" t="s">
        <v>1747</v>
      </c>
      <c r="K139" t="s">
        <v>198</v>
      </c>
      <c r="L139" t="s">
        <v>199</v>
      </c>
      <c r="O139" s="51">
        <v>46303.875694444447</v>
      </c>
      <c r="P139" t="s">
        <v>1748</v>
      </c>
      <c r="Q139" t="s">
        <v>206</v>
      </c>
      <c r="R139" t="s">
        <v>207</v>
      </c>
      <c r="S139" t="s">
        <v>1749</v>
      </c>
      <c r="T139" t="s">
        <v>1749</v>
      </c>
    </row>
    <row r="140" spans="1:20" x14ac:dyDescent="0.3">
      <c r="A140">
        <v>15739616</v>
      </c>
      <c r="B140" t="s">
        <v>275</v>
      </c>
      <c r="C140" s="51">
        <v>46301.384722222225</v>
      </c>
      <c r="E140" t="s">
        <v>201</v>
      </c>
      <c r="F140" t="s">
        <v>196</v>
      </c>
      <c r="G140" t="s">
        <v>197</v>
      </c>
      <c r="H140" t="s">
        <v>1750</v>
      </c>
      <c r="J140" t="s">
        <v>1751</v>
      </c>
      <c r="K140" t="s">
        <v>198</v>
      </c>
      <c r="L140" t="s">
        <v>199</v>
      </c>
      <c r="O140" s="51">
        <v>46302.876388888886</v>
      </c>
      <c r="P140" t="s">
        <v>1752</v>
      </c>
      <c r="Q140" t="s">
        <v>206</v>
      </c>
      <c r="R140" t="s">
        <v>207</v>
      </c>
      <c r="S140" t="s">
        <v>1749</v>
      </c>
      <c r="T140" t="s">
        <v>1749</v>
      </c>
    </row>
    <row r="141" spans="1:20" x14ac:dyDescent="0.3">
      <c r="A141">
        <v>15739396</v>
      </c>
      <c r="B141" t="s">
        <v>275</v>
      </c>
      <c r="C141" s="51">
        <v>46301.361805555556</v>
      </c>
      <c r="E141" t="s">
        <v>213</v>
      </c>
      <c r="F141" t="s">
        <v>196</v>
      </c>
      <c r="G141" t="s">
        <v>197</v>
      </c>
      <c r="H141" t="s">
        <v>1753</v>
      </c>
      <c r="J141" t="s">
        <v>1754</v>
      </c>
      <c r="K141" t="s">
        <v>198</v>
      </c>
      <c r="L141" t="s">
        <v>199</v>
      </c>
      <c r="O141" s="51">
        <v>46303.875694444447</v>
      </c>
      <c r="P141" t="s">
        <v>1755</v>
      </c>
      <c r="Q141" t="s">
        <v>601</v>
      </c>
      <c r="R141" t="s">
        <v>602</v>
      </c>
      <c r="S141" t="s">
        <v>1756</v>
      </c>
      <c r="T141" t="s">
        <v>1756</v>
      </c>
    </row>
    <row r="142" spans="1:20" x14ac:dyDescent="0.3">
      <c r="A142">
        <v>15739210</v>
      </c>
      <c r="B142" t="s">
        <v>275</v>
      </c>
      <c r="C142" s="51">
        <v>46301.352083333331</v>
      </c>
      <c r="E142" t="s">
        <v>201</v>
      </c>
      <c r="F142" t="s">
        <v>196</v>
      </c>
      <c r="G142" t="s">
        <v>197</v>
      </c>
      <c r="H142" t="s">
        <v>1757</v>
      </c>
      <c r="J142" t="s">
        <v>1758</v>
      </c>
      <c r="K142" t="s">
        <v>198</v>
      </c>
      <c r="L142" t="s">
        <v>199</v>
      </c>
      <c r="O142" s="51">
        <v>46303.877083333333</v>
      </c>
      <c r="P142" t="s">
        <v>1759</v>
      </c>
      <c r="Q142" t="s">
        <v>366</v>
      </c>
      <c r="R142" t="s">
        <v>367</v>
      </c>
      <c r="S142" t="s">
        <v>466</v>
      </c>
      <c r="T142" t="s">
        <v>466</v>
      </c>
    </row>
    <row r="143" spans="1:20" x14ac:dyDescent="0.3">
      <c r="A143">
        <v>15739194</v>
      </c>
      <c r="B143" t="s">
        <v>275</v>
      </c>
      <c r="C143" s="51">
        <v>46301.336111111108</v>
      </c>
      <c r="E143" t="s">
        <v>201</v>
      </c>
      <c r="F143" t="s">
        <v>196</v>
      </c>
      <c r="G143" t="s">
        <v>197</v>
      </c>
      <c r="H143" t="s">
        <v>1760</v>
      </c>
      <c r="J143" t="s">
        <v>1761</v>
      </c>
      <c r="K143" t="s">
        <v>198</v>
      </c>
      <c r="L143" t="s">
        <v>199</v>
      </c>
      <c r="O143" s="51">
        <v>46303.876388888886</v>
      </c>
      <c r="P143" t="s">
        <v>1762</v>
      </c>
      <c r="Q143" t="s">
        <v>290</v>
      </c>
      <c r="R143" t="s">
        <v>291</v>
      </c>
      <c r="S143" t="s">
        <v>1763</v>
      </c>
      <c r="T143" t="s">
        <v>1763</v>
      </c>
    </row>
    <row r="144" spans="1:20" x14ac:dyDescent="0.3">
      <c r="A144">
        <v>15739016</v>
      </c>
      <c r="B144" t="s">
        <v>275</v>
      </c>
      <c r="C144" s="51">
        <v>46301.32916666667</v>
      </c>
      <c r="E144" t="s">
        <v>201</v>
      </c>
      <c r="F144" t="s">
        <v>196</v>
      </c>
      <c r="G144" t="s">
        <v>197</v>
      </c>
      <c r="H144" t="s">
        <v>1764</v>
      </c>
      <c r="J144" t="s">
        <v>1765</v>
      </c>
      <c r="K144" t="s">
        <v>198</v>
      </c>
      <c r="L144" t="s">
        <v>199</v>
      </c>
      <c r="O144" s="51">
        <v>46303.876388888886</v>
      </c>
      <c r="P144" t="s">
        <v>1766</v>
      </c>
      <c r="Q144" t="s">
        <v>283</v>
      </c>
      <c r="R144" t="s">
        <v>372</v>
      </c>
      <c r="S144" t="s">
        <v>371</v>
      </c>
      <c r="T144" t="s">
        <v>371</v>
      </c>
    </row>
    <row r="145" spans="1:20" x14ac:dyDescent="0.3">
      <c r="A145">
        <v>15739006</v>
      </c>
      <c r="B145" t="s">
        <v>275</v>
      </c>
      <c r="C145" s="51">
        <v>46301.324999999997</v>
      </c>
      <c r="E145" t="s">
        <v>201</v>
      </c>
      <c r="F145" t="s">
        <v>196</v>
      </c>
      <c r="G145" t="s">
        <v>197</v>
      </c>
      <c r="H145" t="s">
        <v>1767</v>
      </c>
      <c r="J145" t="s">
        <v>1768</v>
      </c>
      <c r="K145" t="s">
        <v>198</v>
      </c>
      <c r="L145" t="s">
        <v>199</v>
      </c>
      <c r="O145" s="51">
        <v>46302.875694444447</v>
      </c>
      <c r="P145" t="s">
        <v>1769</v>
      </c>
      <c r="Q145" t="s">
        <v>445</v>
      </c>
      <c r="R145" t="s">
        <v>446</v>
      </c>
      <c r="S145" t="s">
        <v>444</v>
      </c>
      <c r="T145" t="s">
        <v>444</v>
      </c>
    </row>
    <row r="146" spans="1:20" x14ac:dyDescent="0.3">
      <c r="A146">
        <v>15738996</v>
      </c>
      <c r="B146" t="s">
        <v>275</v>
      </c>
      <c r="C146" s="51">
        <v>46301.318749999999</v>
      </c>
      <c r="E146" t="s">
        <v>195</v>
      </c>
      <c r="F146" t="s">
        <v>196</v>
      </c>
      <c r="G146" t="s">
        <v>197</v>
      </c>
      <c r="H146" t="s">
        <v>1770</v>
      </c>
      <c r="J146" t="s">
        <v>1771</v>
      </c>
      <c r="K146" t="s">
        <v>198</v>
      </c>
      <c r="L146" t="s">
        <v>199</v>
      </c>
      <c r="O146" s="51">
        <v>46302.875694444447</v>
      </c>
      <c r="P146" t="s">
        <v>1772</v>
      </c>
      <c r="Q146" t="s">
        <v>389</v>
      </c>
      <c r="R146" t="s">
        <v>390</v>
      </c>
      <c r="S146" t="s">
        <v>1773</v>
      </c>
      <c r="T146" t="s">
        <v>1773</v>
      </c>
    </row>
    <row r="147" spans="1:20" x14ac:dyDescent="0.3">
      <c r="A147">
        <v>15738994</v>
      </c>
      <c r="B147" t="s">
        <v>194</v>
      </c>
      <c r="C147" s="51">
        <v>46301.31527777778</v>
      </c>
      <c r="E147" t="s">
        <v>204</v>
      </c>
      <c r="F147" t="s">
        <v>196</v>
      </c>
      <c r="G147" t="s">
        <v>197</v>
      </c>
      <c r="H147" t="s">
        <v>1774</v>
      </c>
      <c r="K147" t="s">
        <v>198</v>
      </c>
      <c r="L147" t="s">
        <v>199</v>
      </c>
      <c r="Q147" t="s">
        <v>355</v>
      </c>
      <c r="R147" t="s">
        <v>467</v>
      </c>
      <c r="S147" t="s">
        <v>1775</v>
      </c>
      <c r="T147" t="s">
        <v>1775</v>
      </c>
    </row>
    <row r="148" spans="1:20" x14ac:dyDescent="0.3">
      <c r="A148">
        <v>15738802</v>
      </c>
      <c r="B148" t="s">
        <v>275</v>
      </c>
      <c r="C148" s="51">
        <v>46301.311805555553</v>
      </c>
      <c r="E148" t="s">
        <v>195</v>
      </c>
      <c r="F148" t="s">
        <v>196</v>
      </c>
      <c r="G148" t="s">
        <v>197</v>
      </c>
      <c r="H148" t="s">
        <v>1776</v>
      </c>
      <c r="J148" t="s">
        <v>1777</v>
      </c>
      <c r="K148" t="s">
        <v>198</v>
      </c>
      <c r="L148" t="s">
        <v>199</v>
      </c>
      <c r="O148" s="51">
        <v>46302.875694444447</v>
      </c>
      <c r="P148" t="s">
        <v>1778</v>
      </c>
      <c r="Q148" t="s">
        <v>279</v>
      </c>
      <c r="R148" t="s">
        <v>280</v>
      </c>
      <c r="S148" t="s">
        <v>278</v>
      </c>
      <c r="T148" t="s">
        <v>278</v>
      </c>
    </row>
    <row r="149" spans="1:20" x14ac:dyDescent="0.3">
      <c r="A149">
        <v>15738608</v>
      </c>
      <c r="B149" t="s">
        <v>275</v>
      </c>
      <c r="C149" s="51">
        <v>46301.291666666664</v>
      </c>
      <c r="E149" t="s">
        <v>204</v>
      </c>
      <c r="F149" t="s">
        <v>196</v>
      </c>
      <c r="G149" t="s">
        <v>197</v>
      </c>
      <c r="H149" t="s">
        <v>1779</v>
      </c>
      <c r="J149" t="s">
        <v>1780</v>
      </c>
      <c r="K149" t="s">
        <v>198</v>
      </c>
      <c r="L149" t="s">
        <v>199</v>
      </c>
      <c r="O149" s="51">
        <v>46302.875694444447</v>
      </c>
      <c r="P149" t="s">
        <v>1781</v>
      </c>
      <c r="Q149" t="s">
        <v>351</v>
      </c>
      <c r="R149" t="s">
        <v>576</v>
      </c>
      <c r="S149" t="s">
        <v>1782</v>
      </c>
      <c r="T149" t="s">
        <v>1782</v>
      </c>
    </row>
    <row r="150" spans="1:20" x14ac:dyDescent="0.3">
      <c r="A150">
        <v>15738606</v>
      </c>
      <c r="B150" t="s">
        <v>275</v>
      </c>
      <c r="C150" s="51">
        <v>46301.289583333331</v>
      </c>
      <c r="E150" t="s">
        <v>204</v>
      </c>
      <c r="F150" t="s">
        <v>196</v>
      </c>
      <c r="G150" t="s">
        <v>197</v>
      </c>
      <c r="H150" t="s">
        <v>1783</v>
      </c>
      <c r="J150" t="s">
        <v>1784</v>
      </c>
      <c r="K150" t="s">
        <v>198</v>
      </c>
      <c r="L150" t="s">
        <v>199</v>
      </c>
      <c r="O150" s="51">
        <v>46302.876388888886</v>
      </c>
      <c r="P150" t="s">
        <v>1785</v>
      </c>
      <c r="Q150" t="s">
        <v>351</v>
      </c>
      <c r="R150" t="s">
        <v>576</v>
      </c>
      <c r="S150" t="s">
        <v>1782</v>
      </c>
      <c r="T150" t="s">
        <v>1782</v>
      </c>
    </row>
    <row r="151" spans="1:20" x14ac:dyDescent="0.3">
      <c r="A151">
        <v>15738604</v>
      </c>
      <c r="B151" t="s">
        <v>275</v>
      </c>
      <c r="C151" s="51">
        <v>46301.284722222219</v>
      </c>
      <c r="E151" t="s">
        <v>205</v>
      </c>
      <c r="F151" t="s">
        <v>196</v>
      </c>
      <c r="G151" t="s">
        <v>197</v>
      </c>
      <c r="H151" t="s">
        <v>1786</v>
      </c>
      <c r="J151" t="s">
        <v>1787</v>
      </c>
      <c r="K151" t="s">
        <v>198</v>
      </c>
      <c r="L151" t="s">
        <v>199</v>
      </c>
      <c r="O151" s="51">
        <v>46302.876388888886</v>
      </c>
      <c r="P151" t="s">
        <v>1788</v>
      </c>
      <c r="Q151" t="s">
        <v>276</v>
      </c>
      <c r="R151" t="s">
        <v>277</v>
      </c>
      <c r="S151" t="s">
        <v>1789</v>
      </c>
      <c r="T151" t="s">
        <v>1789</v>
      </c>
    </row>
    <row r="152" spans="1:20" x14ac:dyDescent="0.3">
      <c r="A152">
        <v>15738602</v>
      </c>
      <c r="B152" t="s">
        <v>275</v>
      </c>
      <c r="C152" s="51">
        <v>46301.281944444447</v>
      </c>
      <c r="E152" t="s">
        <v>201</v>
      </c>
      <c r="F152" t="s">
        <v>196</v>
      </c>
      <c r="G152" t="s">
        <v>197</v>
      </c>
      <c r="H152" t="s">
        <v>1790</v>
      </c>
      <c r="J152" t="s">
        <v>1791</v>
      </c>
      <c r="K152" t="s">
        <v>198</v>
      </c>
      <c r="L152" t="s">
        <v>199</v>
      </c>
      <c r="O152" s="51">
        <v>46303.876388888886</v>
      </c>
      <c r="P152" t="s">
        <v>1792</v>
      </c>
      <c r="Q152" t="s">
        <v>240</v>
      </c>
      <c r="R152" t="s">
        <v>241</v>
      </c>
      <c r="S152" t="s">
        <v>1793</v>
      </c>
      <c r="T152" t="s">
        <v>1793</v>
      </c>
    </row>
    <row r="153" spans="1:20" x14ac:dyDescent="0.3">
      <c r="A153">
        <v>15735490</v>
      </c>
      <c r="B153" t="s">
        <v>194</v>
      </c>
      <c r="C153" s="51">
        <v>46300.749305555553</v>
      </c>
      <c r="E153" t="s">
        <v>205</v>
      </c>
      <c r="F153" t="s">
        <v>196</v>
      </c>
      <c r="G153" t="s">
        <v>197</v>
      </c>
      <c r="H153" t="s">
        <v>1794</v>
      </c>
      <c r="K153" t="s">
        <v>249</v>
      </c>
      <c r="L153" t="s">
        <v>199</v>
      </c>
      <c r="Q153" t="s">
        <v>283</v>
      </c>
      <c r="R153" t="s">
        <v>284</v>
      </c>
      <c r="S153" t="s">
        <v>463</v>
      </c>
      <c r="T153" t="s">
        <v>463</v>
      </c>
    </row>
    <row r="154" spans="1:20" x14ac:dyDescent="0.3">
      <c r="A154">
        <v>15735488</v>
      </c>
      <c r="B154" t="s">
        <v>275</v>
      </c>
      <c r="C154" s="51">
        <v>46300.748611111114</v>
      </c>
      <c r="E154" t="s">
        <v>213</v>
      </c>
      <c r="F154" t="s">
        <v>196</v>
      </c>
      <c r="G154" t="s">
        <v>197</v>
      </c>
      <c r="H154" t="s">
        <v>1795</v>
      </c>
      <c r="J154" t="s">
        <v>1796</v>
      </c>
      <c r="K154" t="s">
        <v>249</v>
      </c>
      <c r="L154" t="s">
        <v>199</v>
      </c>
      <c r="O154" s="51">
        <v>46302.875694444447</v>
      </c>
      <c r="P154" t="s">
        <v>1797</v>
      </c>
      <c r="Q154" t="s">
        <v>214</v>
      </c>
      <c r="R154" t="s">
        <v>361</v>
      </c>
      <c r="S154" t="s">
        <v>413</v>
      </c>
      <c r="T154" t="s">
        <v>413</v>
      </c>
    </row>
    <row r="155" spans="1:20" x14ac:dyDescent="0.3">
      <c r="A155">
        <v>15735484</v>
      </c>
      <c r="B155" t="s">
        <v>275</v>
      </c>
      <c r="C155" s="51">
        <v>46300.747916666667</v>
      </c>
      <c r="E155" t="s">
        <v>201</v>
      </c>
      <c r="F155" t="s">
        <v>196</v>
      </c>
      <c r="G155" t="s">
        <v>197</v>
      </c>
      <c r="H155" t="s">
        <v>1798</v>
      </c>
      <c r="J155" t="s">
        <v>1799</v>
      </c>
      <c r="K155" t="s">
        <v>249</v>
      </c>
      <c r="L155" t="s">
        <v>199</v>
      </c>
      <c r="O155" s="51">
        <v>46302.875694444447</v>
      </c>
      <c r="P155" t="s">
        <v>1800</v>
      </c>
      <c r="Q155" t="s">
        <v>299</v>
      </c>
      <c r="R155" t="s">
        <v>300</v>
      </c>
      <c r="S155" t="s">
        <v>447</v>
      </c>
      <c r="T155" t="s">
        <v>447</v>
      </c>
    </row>
    <row r="156" spans="1:20" x14ac:dyDescent="0.3">
      <c r="A156">
        <v>15735482</v>
      </c>
      <c r="B156" t="s">
        <v>275</v>
      </c>
      <c r="C156" s="51">
        <v>46300.74722222222</v>
      </c>
      <c r="E156" t="s">
        <v>213</v>
      </c>
      <c r="F156" t="s">
        <v>196</v>
      </c>
      <c r="G156" t="s">
        <v>197</v>
      </c>
      <c r="H156" t="s">
        <v>1801</v>
      </c>
      <c r="J156" t="s">
        <v>1802</v>
      </c>
      <c r="K156" t="s">
        <v>249</v>
      </c>
      <c r="L156" t="s">
        <v>199</v>
      </c>
      <c r="O156" s="51">
        <v>46302.876388888886</v>
      </c>
      <c r="P156" t="s">
        <v>1803</v>
      </c>
      <c r="Q156" t="s">
        <v>1804</v>
      </c>
      <c r="R156" t="s">
        <v>1805</v>
      </c>
      <c r="S156" t="s">
        <v>1806</v>
      </c>
      <c r="T156" t="s">
        <v>1806</v>
      </c>
    </row>
    <row r="157" spans="1:20" x14ac:dyDescent="0.3">
      <c r="A157">
        <v>15735476</v>
      </c>
      <c r="B157" t="s">
        <v>275</v>
      </c>
      <c r="C157" s="51">
        <v>46300.74722222222</v>
      </c>
      <c r="E157" t="s">
        <v>375</v>
      </c>
      <c r="F157" t="s">
        <v>196</v>
      </c>
      <c r="G157" t="s">
        <v>197</v>
      </c>
      <c r="H157" t="s">
        <v>1807</v>
      </c>
      <c r="J157" t="s">
        <v>1808</v>
      </c>
      <c r="K157" t="s">
        <v>249</v>
      </c>
      <c r="L157" t="s">
        <v>199</v>
      </c>
      <c r="O157" s="51">
        <v>46303.875694444447</v>
      </c>
      <c r="P157" t="s">
        <v>1809</v>
      </c>
      <c r="Q157" t="s">
        <v>233</v>
      </c>
      <c r="R157" t="s">
        <v>234</v>
      </c>
      <c r="S157" t="s">
        <v>1810</v>
      </c>
      <c r="T157" t="s">
        <v>1810</v>
      </c>
    </row>
    <row r="158" spans="1:20" x14ac:dyDescent="0.3">
      <c r="A158">
        <v>15735474</v>
      </c>
      <c r="B158" t="s">
        <v>275</v>
      </c>
      <c r="C158" s="51">
        <v>46300.746527777781</v>
      </c>
      <c r="E158" t="s">
        <v>213</v>
      </c>
      <c r="F158" t="s">
        <v>196</v>
      </c>
      <c r="G158" t="s">
        <v>197</v>
      </c>
      <c r="H158" t="s">
        <v>1811</v>
      </c>
      <c r="J158" t="s">
        <v>1812</v>
      </c>
      <c r="K158" t="s">
        <v>249</v>
      </c>
      <c r="L158" t="s">
        <v>199</v>
      </c>
      <c r="O158" s="51">
        <v>46302.876388888886</v>
      </c>
      <c r="P158" t="s">
        <v>1813</v>
      </c>
      <c r="Q158" t="s">
        <v>1804</v>
      </c>
      <c r="R158" t="s">
        <v>1805</v>
      </c>
      <c r="S158" t="s">
        <v>1806</v>
      </c>
      <c r="T158" t="s">
        <v>1806</v>
      </c>
    </row>
    <row r="159" spans="1:20" x14ac:dyDescent="0.3">
      <c r="A159">
        <v>15735468</v>
      </c>
      <c r="B159" t="s">
        <v>275</v>
      </c>
      <c r="C159" s="51">
        <v>46300.745833333334</v>
      </c>
      <c r="E159" t="s">
        <v>213</v>
      </c>
      <c r="F159" t="s">
        <v>196</v>
      </c>
      <c r="G159" t="s">
        <v>197</v>
      </c>
      <c r="H159" t="s">
        <v>1814</v>
      </c>
      <c r="J159" t="s">
        <v>1815</v>
      </c>
      <c r="K159" t="s">
        <v>249</v>
      </c>
      <c r="L159" t="s">
        <v>199</v>
      </c>
      <c r="O159" s="51">
        <v>46302.875694444447</v>
      </c>
      <c r="P159" t="s">
        <v>1816</v>
      </c>
      <c r="Q159" t="s">
        <v>283</v>
      </c>
      <c r="R159" t="s">
        <v>284</v>
      </c>
      <c r="S159" t="s">
        <v>451</v>
      </c>
      <c r="T159" t="s">
        <v>451</v>
      </c>
    </row>
    <row r="160" spans="1:20" x14ac:dyDescent="0.3">
      <c r="A160">
        <v>15735464</v>
      </c>
      <c r="B160" t="s">
        <v>255</v>
      </c>
      <c r="C160" s="51">
        <v>46300.745138888888</v>
      </c>
      <c r="E160" t="s">
        <v>213</v>
      </c>
      <c r="F160" t="s">
        <v>196</v>
      </c>
      <c r="G160" t="s">
        <v>197</v>
      </c>
      <c r="H160" t="s">
        <v>1817</v>
      </c>
      <c r="J160" t="s">
        <v>1818</v>
      </c>
      <c r="K160" t="s">
        <v>249</v>
      </c>
      <c r="L160" t="s">
        <v>199</v>
      </c>
      <c r="M160" s="51">
        <v>46302.688194444447</v>
      </c>
      <c r="N160" t="s">
        <v>1819</v>
      </c>
      <c r="O160" s="51">
        <v>46302.875694444447</v>
      </c>
      <c r="P160" t="s">
        <v>1820</v>
      </c>
      <c r="Q160" t="s">
        <v>421</v>
      </c>
      <c r="R160" t="s">
        <v>422</v>
      </c>
      <c r="S160" t="s">
        <v>420</v>
      </c>
      <c r="T160" t="s">
        <v>420</v>
      </c>
    </row>
    <row r="161" spans="1:20" x14ac:dyDescent="0.3">
      <c r="A161">
        <v>15735462</v>
      </c>
      <c r="B161" t="s">
        <v>275</v>
      </c>
      <c r="C161" s="51">
        <v>46300.744444444441</v>
      </c>
      <c r="E161" t="s">
        <v>251</v>
      </c>
      <c r="F161" t="s">
        <v>196</v>
      </c>
      <c r="G161" t="s">
        <v>197</v>
      </c>
      <c r="H161" t="s">
        <v>1821</v>
      </c>
      <c r="J161" t="s">
        <v>1822</v>
      </c>
      <c r="K161" t="s">
        <v>249</v>
      </c>
      <c r="L161" t="s">
        <v>199</v>
      </c>
      <c r="O161" s="51">
        <v>46302.875694444447</v>
      </c>
      <c r="P161" t="s">
        <v>1823</v>
      </c>
      <c r="Q161" t="s">
        <v>421</v>
      </c>
      <c r="R161" t="s">
        <v>422</v>
      </c>
      <c r="S161" t="s">
        <v>420</v>
      </c>
      <c r="T161" t="s">
        <v>420</v>
      </c>
    </row>
    <row r="162" spans="1:20" x14ac:dyDescent="0.3">
      <c r="A162">
        <v>15735458</v>
      </c>
      <c r="B162" t="s">
        <v>275</v>
      </c>
      <c r="C162" s="51">
        <v>46300.743750000001</v>
      </c>
      <c r="E162" t="s">
        <v>213</v>
      </c>
      <c r="F162" t="s">
        <v>196</v>
      </c>
      <c r="G162" t="s">
        <v>197</v>
      </c>
      <c r="H162" t="s">
        <v>1824</v>
      </c>
      <c r="J162" t="s">
        <v>1825</v>
      </c>
      <c r="K162" t="s">
        <v>249</v>
      </c>
      <c r="L162" t="s">
        <v>199</v>
      </c>
      <c r="O162" s="51">
        <v>46302.875694444447</v>
      </c>
      <c r="P162" t="s">
        <v>1826</v>
      </c>
      <c r="Q162" t="s">
        <v>283</v>
      </c>
      <c r="R162" t="s">
        <v>284</v>
      </c>
      <c r="S162" t="s">
        <v>451</v>
      </c>
      <c r="T162" t="s">
        <v>451</v>
      </c>
    </row>
    <row r="163" spans="1:20" x14ac:dyDescent="0.3">
      <c r="A163">
        <v>15735456</v>
      </c>
      <c r="B163" t="s">
        <v>275</v>
      </c>
      <c r="C163" s="51">
        <v>46300.743750000001</v>
      </c>
      <c r="E163" t="s">
        <v>201</v>
      </c>
      <c r="F163" t="s">
        <v>196</v>
      </c>
      <c r="G163" t="s">
        <v>197</v>
      </c>
      <c r="H163" t="s">
        <v>1827</v>
      </c>
      <c r="J163" t="s">
        <v>1828</v>
      </c>
      <c r="K163" t="s">
        <v>249</v>
      </c>
      <c r="L163" t="s">
        <v>199</v>
      </c>
      <c r="O163" s="51">
        <v>46303.875694444447</v>
      </c>
      <c r="P163" t="s">
        <v>1829</v>
      </c>
      <c r="Q163" t="s">
        <v>259</v>
      </c>
      <c r="R163" t="s">
        <v>346</v>
      </c>
      <c r="S163" t="s">
        <v>452</v>
      </c>
      <c r="T163" t="s">
        <v>452</v>
      </c>
    </row>
    <row r="164" spans="1:20" x14ac:dyDescent="0.3">
      <c r="A164">
        <v>15735452</v>
      </c>
      <c r="B164" t="s">
        <v>275</v>
      </c>
      <c r="C164" s="51">
        <v>46300.743055555555</v>
      </c>
      <c r="E164" t="s">
        <v>201</v>
      </c>
      <c r="F164" t="s">
        <v>196</v>
      </c>
      <c r="G164" t="s">
        <v>197</v>
      </c>
      <c r="H164" t="s">
        <v>1830</v>
      </c>
      <c r="J164" t="s">
        <v>1831</v>
      </c>
      <c r="K164" t="s">
        <v>249</v>
      </c>
      <c r="L164" t="s">
        <v>199</v>
      </c>
      <c r="O164" s="51">
        <v>46303.875694444447</v>
      </c>
      <c r="P164" t="s">
        <v>1832</v>
      </c>
      <c r="Q164" t="s">
        <v>259</v>
      </c>
      <c r="R164" t="s">
        <v>346</v>
      </c>
      <c r="S164" t="s">
        <v>452</v>
      </c>
      <c r="T164" t="s">
        <v>452</v>
      </c>
    </row>
    <row r="165" spans="1:20" x14ac:dyDescent="0.3">
      <c r="A165">
        <v>15735450</v>
      </c>
      <c r="B165" t="s">
        <v>275</v>
      </c>
      <c r="C165" s="51">
        <v>46300.742361111108</v>
      </c>
      <c r="E165" t="s">
        <v>201</v>
      </c>
      <c r="F165" t="s">
        <v>196</v>
      </c>
      <c r="G165" t="s">
        <v>197</v>
      </c>
      <c r="H165" t="s">
        <v>1833</v>
      </c>
      <c r="J165" t="s">
        <v>1834</v>
      </c>
      <c r="K165" t="s">
        <v>249</v>
      </c>
      <c r="L165" t="s">
        <v>199</v>
      </c>
      <c r="O165" s="51">
        <v>46302.876388888886</v>
      </c>
      <c r="P165" t="s">
        <v>1835</v>
      </c>
      <c r="Q165" t="s">
        <v>329</v>
      </c>
      <c r="R165" t="s">
        <v>330</v>
      </c>
      <c r="S165" t="s">
        <v>328</v>
      </c>
      <c r="T165" t="s">
        <v>328</v>
      </c>
    </row>
    <row r="166" spans="1:20" x14ac:dyDescent="0.3">
      <c r="A166">
        <v>15735446</v>
      </c>
      <c r="B166" t="s">
        <v>275</v>
      </c>
      <c r="C166" s="51">
        <v>46300.742361111108</v>
      </c>
      <c r="E166" t="s">
        <v>201</v>
      </c>
      <c r="F166" t="s">
        <v>196</v>
      </c>
      <c r="G166" t="s">
        <v>197</v>
      </c>
      <c r="H166" t="s">
        <v>1836</v>
      </c>
      <c r="J166" t="s">
        <v>1837</v>
      </c>
      <c r="K166" t="s">
        <v>249</v>
      </c>
      <c r="L166" t="s">
        <v>199</v>
      </c>
      <c r="O166" s="51">
        <v>46302.876388888886</v>
      </c>
      <c r="P166" t="s">
        <v>1838</v>
      </c>
      <c r="Q166" t="s">
        <v>329</v>
      </c>
      <c r="R166" t="s">
        <v>330</v>
      </c>
      <c r="S166" t="s">
        <v>328</v>
      </c>
      <c r="T166" t="s">
        <v>328</v>
      </c>
    </row>
    <row r="167" spans="1:20" x14ac:dyDescent="0.3">
      <c r="A167">
        <v>15735442</v>
      </c>
      <c r="B167" t="s">
        <v>275</v>
      </c>
      <c r="C167" s="51">
        <v>46300.741666666669</v>
      </c>
      <c r="E167" t="s">
        <v>213</v>
      </c>
      <c r="F167" t="s">
        <v>196</v>
      </c>
      <c r="G167" t="s">
        <v>197</v>
      </c>
      <c r="H167" t="s">
        <v>1839</v>
      </c>
      <c r="J167" t="s">
        <v>1840</v>
      </c>
      <c r="K167" t="s">
        <v>249</v>
      </c>
      <c r="L167" t="s">
        <v>199</v>
      </c>
      <c r="O167" s="51">
        <v>46302.875694444447</v>
      </c>
      <c r="P167" t="s">
        <v>1841</v>
      </c>
      <c r="Q167" t="s">
        <v>261</v>
      </c>
      <c r="R167" t="s">
        <v>262</v>
      </c>
      <c r="S167" t="s">
        <v>1842</v>
      </c>
      <c r="T167" t="s">
        <v>1842</v>
      </c>
    </row>
    <row r="168" spans="1:20" x14ac:dyDescent="0.3">
      <c r="A168">
        <v>15735440</v>
      </c>
      <c r="B168" t="s">
        <v>275</v>
      </c>
      <c r="C168" s="51">
        <v>46300.740972222222</v>
      </c>
      <c r="E168" t="s">
        <v>213</v>
      </c>
      <c r="F168" t="s">
        <v>196</v>
      </c>
      <c r="G168" t="s">
        <v>197</v>
      </c>
      <c r="H168" t="s">
        <v>1843</v>
      </c>
      <c r="J168" t="s">
        <v>1844</v>
      </c>
      <c r="K168" t="s">
        <v>249</v>
      </c>
      <c r="L168" t="s">
        <v>199</v>
      </c>
      <c r="O168" s="51">
        <v>46302.876388888886</v>
      </c>
      <c r="P168" t="s">
        <v>1845</v>
      </c>
      <c r="Q168" t="s">
        <v>315</v>
      </c>
      <c r="R168" t="s">
        <v>316</v>
      </c>
      <c r="S168" t="s">
        <v>618</v>
      </c>
      <c r="T168" t="s">
        <v>618</v>
      </c>
    </row>
    <row r="169" spans="1:20" x14ac:dyDescent="0.3">
      <c r="A169">
        <v>15735432</v>
      </c>
      <c r="B169" t="s">
        <v>194</v>
      </c>
      <c r="C169" s="51">
        <v>46300.740277777775</v>
      </c>
      <c r="E169" t="s">
        <v>205</v>
      </c>
      <c r="F169" t="s">
        <v>196</v>
      </c>
      <c r="G169" t="s">
        <v>197</v>
      </c>
      <c r="H169" t="s">
        <v>1846</v>
      </c>
      <c r="K169" t="s">
        <v>249</v>
      </c>
      <c r="L169" t="s">
        <v>199</v>
      </c>
      <c r="Q169" t="s">
        <v>351</v>
      </c>
      <c r="R169" t="s">
        <v>1847</v>
      </c>
      <c r="S169" t="s">
        <v>1848</v>
      </c>
      <c r="T169" t="s">
        <v>1848</v>
      </c>
    </row>
    <row r="170" spans="1:20" x14ac:dyDescent="0.3">
      <c r="A170">
        <v>15735180</v>
      </c>
      <c r="B170" t="s">
        <v>275</v>
      </c>
      <c r="C170" s="51">
        <v>46300.708333333336</v>
      </c>
      <c r="E170" t="s">
        <v>195</v>
      </c>
      <c r="F170" t="s">
        <v>196</v>
      </c>
      <c r="G170" t="s">
        <v>197</v>
      </c>
      <c r="H170" t="s">
        <v>1849</v>
      </c>
      <c r="J170" t="s">
        <v>1850</v>
      </c>
      <c r="K170" t="s">
        <v>198</v>
      </c>
      <c r="L170" t="s">
        <v>199</v>
      </c>
      <c r="O170" s="51">
        <v>46302.875694444447</v>
      </c>
      <c r="P170" t="s">
        <v>1851</v>
      </c>
      <c r="Q170" t="s">
        <v>1852</v>
      </c>
      <c r="R170" t="s">
        <v>1853</v>
      </c>
      <c r="S170" t="s">
        <v>1854</v>
      </c>
      <c r="T170" t="s">
        <v>1854</v>
      </c>
    </row>
    <row r="171" spans="1:20" x14ac:dyDescent="0.3">
      <c r="A171">
        <v>15734734</v>
      </c>
      <c r="B171" t="s">
        <v>275</v>
      </c>
      <c r="C171" s="51">
        <v>46300.706944444442</v>
      </c>
      <c r="E171" t="s">
        <v>201</v>
      </c>
      <c r="F171" t="s">
        <v>196</v>
      </c>
      <c r="G171" t="s">
        <v>197</v>
      </c>
      <c r="H171" t="s">
        <v>1855</v>
      </c>
      <c r="J171" t="s">
        <v>1856</v>
      </c>
      <c r="K171" t="s">
        <v>198</v>
      </c>
      <c r="L171" t="s">
        <v>199</v>
      </c>
      <c r="O171" s="51">
        <v>46303.877083333333</v>
      </c>
      <c r="P171" t="s">
        <v>1857</v>
      </c>
      <c r="Q171" t="s">
        <v>240</v>
      </c>
      <c r="R171" t="s">
        <v>241</v>
      </c>
      <c r="S171" t="s">
        <v>1793</v>
      </c>
      <c r="T171" t="s">
        <v>1793</v>
      </c>
    </row>
    <row r="172" spans="1:20" x14ac:dyDescent="0.3">
      <c r="A172">
        <v>15734642</v>
      </c>
      <c r="B172" t="s">
        <v>275</v>
      </c>
      <c r="C172" s="51">
        <v>46300.70416666667</v>
      </c>
      <c r="E172" t="s">
        <v>201</v>
      </c>
      <c r="F172" t="s">
        <v>196</v>
      </c>
      <c r="G172" t="s">
        <v>197</v>
      </c>
      <c r="H172" t="s">
        <v>1858</v>
      </c>
      <c r="J172" t="s">
        <v>1859</v>
      </c>
      <c r="K172" t="s">
        <v>198</v>
      </c>
      <c r="L172" t="s">
        <v>199</v>
      </c>
      <c r="O172" s="51">
        <v>46303.877083333333</v>
      </c>
      <c r="P172" t="s">
        <v>1860</v>
      </c>
      <c r="Q172" t="s">
        <v>240</v>
      </c>
      <c r="R172" t="s">
        <v>241</v>
      </c>
      <c r="S172" t="s">
        <v>455</v>
      </c>
      <c r="T172" t="s">
        <v>455</v>
      </c>
    </row>
    <row r="173" spans="1:20" x14ac:dyDescent="0.3">
      <c r="A173">
        <v>15734632</v>
      </c>
      <c r="B173" t="s">
        <v>275</v>
      </c>
      <c r="C173" s="51">
        <v>46300.701388888891</v>
      </c>
      <c r="E173" t="s">
        <v>204</v>
      </c>
      <c r="F173" t="s">
        <v>196</v>
      </c>
      <c r="G173" t="s">
        <v>197</v>
      </c>
      <c r="H173" t="s">
        <v>1861</v>
      </c>
      <c r="J173" t="s">
        <v>1862</v>
      </c>
      <c r="K173" t="s">
        <v>198</v>
      </c>
      <c r="L173" t="s">
        <v>199</v>
      </c>
      <c r="O173" s="51">
        <v>46302.875694444447</v>
      </c>
      <c r="P173" t="s">
        <v>1863</v>
      </c>
      <c r="Q173" t="s">
        <v>1852</v>
      </c>
      <c r="R173" t="s">
        <v>1853</v>
      </c>
      <c r="S173" t="s">
        <v>1854</v>
      </c>
      <c r="T173" t="s">
        <v>1854</v>
      </c>
    </row>
    <row r="174" spans="1:20" x14ac:dyDescent="0.3">
      <c r="A174">
        <v>15734624</v>
      </c>
      <c r="B174" t="s">
        <v>275</v>
      </c>
      <c r="C174" s="51">
        <v>46300.695833333331</v>
      </c>
      <c r="E174" t="s">
        <v>195</v>
      </c>
      <c r="F174" t="s">
        <v>196</v>
      </c>
      <c r="G174" t="s">
        <v>197</v>
      </c>
      <c r="H174" t="s">
        <v>1864</v>
      </c>
      <c r="J174" t="s">
        <v>1865</v>
      </c>
      <c r="K174" t="s">
        <v>198</v>
      </c>
      <c r="L174" t="s">
        <v>199</v>
      </c>
      <c r="O174" s="51">
        <v>46302.876388888886</v>
      </c>
      <c r="P174" t="s">
        <v>1866</v>
      </c>
      <c r="Q174" t="s">
        <v>339</v>
      </c>
      <c r="R174" t="s">
        <v>340</v>
      </c>
      <c r="S174" t="s">
        <v>338</v>
      </c>
      <c r="T174" t="s">
        <v>338</v>
      </c>
    </row>
    <row r="175" spans="1:20" x14ac:dyDescent="0.3">
      <c r="A175">
        <v>15734610</v>
      </c>
      <c r="B175" t="s">
        <v>275</v>
      </c>
      <c r="C175" s="51">
        <v>46300.69027777778</v>
      </c>
      <c r="E175" t="s">
        <v>201</v>
      </c>
      <c r="F175" t="s">
        <v>196</v>
      </c>
      <c r="G175" t="s">
        <v>197</v>
      </c>
      <c r="H175" t="s">
        <v>1867</v>
      </c>
      <c r="J175" t="s">
        <v>1868</v>
      </c>
      <c r="K175" t="s">
        <v>198</v>
      </c>
      <c r="L175" t="s">
        <v>199</v>
      </c>
      <c r="O175" s="51">
        <v>46302.875694444447</v>
      </c>
      <c r="P175" t="s">
        <v>1869</v>
      </c>
      <c r="Q175" t="s">
        <v>384</v>
      </c>
      <c r="R175" t="s">
        <v>385</v>
      </c>
      <c r="S175" t="s">
        <v>468</v>
      </c>
      <c r="T175" t="s">
        <v>468</v>
      </c>
    </row>
    <row r="176" spans="1:20" x14ac:dyDescent="0.3">
      <c r="A176">
        <v>15734414</v>
      </c>
      <c r="B176" t="s">
        <v>275</v>
      </c>
      <c r="C176" s="51">
        <v>46300.679166666669</v>
      </c>
      <c r="E176" t="s">
        <v>204</v>
      </c>
      <c r="F176" t="s">
        <v>196</v>
      </c>
      <c r="G176" t="s">
        <v>197</v>
      </c>
      <c r="H176" t="s">
        <v>1870</v>
      </c>
      <c r="J176" t="s">
        <v>1871</v>
      </c>
      <c r="K176" t="s">
        <v>198</v>
      </c>
      <c r="L176" t="s">
        <v>199</v>
      </c>
      <c r="O176" s="51">
        <v>46303.876388888886</v>
      </c>
      <c r="P176" t="s">
        <v>1872</v>
      </c>
      <c r="Q176" t="s">
        <v>384</v>
      </c>
      <c r="R176" t="s">
        <v>385</v>
      </c>
      <c r="S176" t="s">
        <v>1873</v>
      </c>
      <c r="T176" t="s">
        <v>1873</v>
      </c>
    </row>
    <row r="177" spans="1:20" x14ac:dyDescent="0.3">
      <c r="A177">
        <v>15734302</v>
      </c>
      <c r="B177" t="s">
        <v>275</v>
      </c>
      <c r="C177" s="51">
        <v>46300.666666666664</v>
      </c>
      <c r="E177" t="s">
        <v>201</v>
      </c>
      <c r="F177" t="s">
        <v>196</v>
      </c>
      <c r="G177" t="s">
        <v>197</v>
      </c>
      <c r="H177" t="s">
        <v>1874</v>
      </c>
      <c r="J177" t="s">
        <v>1875</v>
      </c>
      <c r="K177" t="s">
        <v>198</v>
      </c>
      <c r="L177" t="s">
        <v>199</v>
      </c>
      <c r="O177" s="51">
        <v>46302.875694444447</v>
      </c>
      <c r="P177" t="s">
        <v>1876</v>
      </c>
      <c r="Q177" t="s">
        <v>254</v>
      </c>
      <c r="R177" t="s">
        <v>593</v>
      </c>
      <c r="S177" t="s">
        <v>1877</v>
      </c>
      <c r="T177" t="s">
        <v>1877</v>
      </c>
    </row>
    <row r="178" spans="1:20" x14ac:dyDescent="0.3">
      <c r="A178">
        <v>15734286</v>
      </c>
      <c r="B178" t="s">
        <v>275</v>
      </c>
      <c r="C178" s="51">
        <v>46300.663194444445</v>
      </c>
      <c r="E178" t="s">
        <v>205</v>
      </c>
      <c r="F178" t="s">
        <v>196</v>
      </c>
      <c r="G178" t="s">
        <v>197</v>
      </c>
      <c r="H178" t="s">
        <v>1878</v>
      </c>
      <c r="J178" t="s">
        <v>1879</v>
      </c>
      <c r="K178" t="s">
        <v>198</v>
      </c>
      <c r="L178" t="s">
        <v>199</v>
      </c>
      <c r="O178" s="51">
        <v>46303.875694444447</v>
      </c>
      <c r="P178" t="s">
        <v>1880</v>
      </c>
      <c r="Q178" t="s">
        <v>254</v>
      </c>
      <c r="R178" t="s">
        <v>593</v>
      </c>
      <c r="S178" t="s">
        <v>1877</v>
      </c>
      <c r="T178" t="s">
        <v>1877</v>
      </c>
    </row>
    <row r="179" spans="1:20" x14ac:dyDescent="0.3">
      <c r="A179">
        <v>15734024</v>
      </c>
      <c r="B179" t="s">
        <v>275</v>
      </c>
      <c r="C179" s="51">
        <v>46300.652083333334</v>
      </c>
      <c r="E179" t="s">
        <v>204</v>
      </c>
      <c r="F179" t="s">
        <v>196</v>
      </c>
      <c r="G179" t="s">
        <v>197</v>
      </c>
      <c r="H179" t="s">
        <v>1881</v>
      </c>
      <c r="J179" t="s">
        <v>1882</v>
      </c>
      <c r="K179" t="s">
        <v>198</v>
      </c>
      <c r="L179" t="s">
        <v>199</v>
      </c>
      <c r="O179" s="51">
        <v>46302.876388888886</v>
      </c>
      <c r="P179" t="s">
        <v>1883</v>
      </c>
      <c r="Q179" t="s">
        <v>552</v>
      </c>
      <c r="R179" t="s">
        <v>553</v>
      </c>
      <c r="S179" t="s">
        <v>381</v>
      </c>
      <c r="T179" t="s">
        <v>381</v>
      </c>
    </row>
    <row r="180" spans="1:20" x14ac:dyDescent="0.3">
      <c r="A180">
        <v>15733916</v>
      </c>
      <c r="B180" t="s">
        <v>275</v>
      </c>
      <c r="C180" s="51">
        <v>46300.644444444442</v>
      </c>
      <c r="E180" t="s">
        <v>213</v>
      </c>
      <c r="F180" t="s">
        <v>196</v>
      </c>
      <c r="G180" t="s">
        <v>197</v>
      </c>
      <c r="H180" t="s">
        <v>1884</v>
      </c>
      <c r="J180" t="s">
        <v>1885</v>
      </c>
      <c r="K180" t="s">
        <v>198</v>
      </c>
      <c r="L180" t="s">
        <v>199</v>
      </c>
      <c r="O180" s="51">
        <v>46302.875694444447</v>
      </c>
      <c r="P180" t="s">
        <v>1886</v>
      </c>
      <c r="Q180" t="s">
        <v>418</v>
      </c>
      <c r="R180" t="s">
        <v>419</v>
      </c>
      <c r="S180" t="s">
        <v>617</v>
      </c>
      <c r="T180" t="s">
        <v>617</v>
      </c>
    </row>
    <row r="181" spans="1:20" x14ac:dyDescent="0.3">
      <c r="A181">
        <v>15733882</v>
      </c>
      <c r="B181" t="s">
        <v>275</v>
      </c>
      <c r="C181" s="51">
        <v>46300.63958333333</v>
      </c>
      <c r="E181" t="s">
        <v>195</v>
      </c>
      <c r="F181" t="s">
        <v>196</v>
      </c>
      <c r="G181" t="s">
        <v>197</v>
      </c>
      <c r="H181" t="s">
        <v>1887</v>
      </c>
      <c r="J181" t="s">
        <v>1888</v>
      </c>
      <c r="K181" t="s">
        <v>198</v>
      </c>
      <c r="L181" t="s">
        <v>199</v>
      </c>
      <c r="O181" s="51">
        <v>46303.877083333333</v>
      </c>
      <c r="P181" t="s">
        <v>1889</v>
      </c>
      <c r="Q181" t="s">
        <v>214</v>
      </c>
      <c r="R181" t="s">
        <v>423</v>
      </c>
      <c r="S181" t="s">
        <v>605</v>
      </c>
      <c r="T181" t="s">
        <v>605</v>
      </c>
    </row>
    <row r="182" spans="1:20" x14ac:dyDescent="0.3">
      <c r="A182">
        <v>15733850</v>
      </c>
      <c r="B182" t="s">
        <v>275</v>
      </c>
      <c r="C182" s="51">
        <v>46300.636111111111</v>
      </c>
      <c r="E182" t="s">
        <v>195</v>
      </c>
      <c r="F182" t="s">
        <v>196</v>
      </c>
      <c r="G182" t="s">
        <v>197</v>
      </c>
      <c r="H182" t="s">
        <v>1890</v>
      </c>
      <c r="J182" t="s">
        <v>1891</v>
      </c>
      <c r="K182" t="s">
        <v>198</v>
      </c>
      <c r="L182" t="s">
        <v>199</v>
      </c>
      <c r="O182" s="51">
        <v>46303.875694444447</v>
      </c>
      <c r="P182" t="s">
        <v>1892</v>
      </c>
      <c r="Q182" t="s">
        <v>214</v>
      </c>
      <c r="R182" t="s">
        <v>423</v>
      </c>
      <c r="S182" t="s">
        <v>605</v>
      </c>
      <c r="T182" t="s">
        <v>605</v>
      </c>
    </row>
    <row r="183" spans="1:20" x14ac:dyDescent="0.3">
      <c r="A183">
        <v>15733826</v>
      </c>
      <c r="B183" t="s">
        <v>275</v>
      </c>
      <c r="C183" s="51">
        <v>46300.632638888892</v>
      </c>
      <c r="E183" t="s">
        <v>195</v>
      </c>
      <c r="F183" t="s">
        <v>196</v>
      </c>
      <c r="G183" t="s">
        <v>197</v>
      </c>
      <c r="H183" t="s">
        <v>1893</v>
      </c>
      <c r="J183" t="s">
        <v>1894</v>
      </c>
      <c r="K183" t="s">
        <v>198</v>
      </c>
      <c r="L183" t="s">
        <v>199</v>
      </c>
      <c r="O183" s="51">
        <v>46303.876388888886</v>
      </c>
      <c r="P183" t="s">
        <v>1895</v>
      </c>
      <c r="Q183" t="s">
        <v>214</v>
      </c>
      <c r="R183" t="s">
        <v>423</v>
      </c>
      <c r="S183" t="s">
        <v>605</v>
      </c>
      <c r="T183" t="s">
        <v>605</v>
      </c>
    </row>
    <row r="184" spans="1:20" x14ac:dyDescent="0.3">
      <c r="A184">
        <v>15733728</v>
      </c>
      <c r="B184" t="s">
        <v>275</v>
      </c>
      <c r="C184" s="51">
        <v>46300.620833333334</v>
      </c>
      <c r="E184" t="s">
        <v>204</v>
      </c>
      <c r="F184" t="s">
        <v>196</v>
      </c>
      <c r="G184" t="s">
        <v>197</v>
      </c>
      <c r="H184" t="s">
        <v>1896</v>
      </c>
      <c r="J184" t="s">
        <v>1897</v>
      </c>
      <c r="K184" t="s">
        <v>198</v>
      </c>
      <c r="L184" t="s">
        <v>199</v>
      </c>
      <c r="O184" s="51">
        <v>46302.875694444447</v>
      </c>
      <c r="P184" t="s">
        <v>1898</v>
      </c>
      <c r="Q184" t="s">
        <v>386</v>
      </c>
      <c r="R184" t="s">
        <v>387</v>
      </c>
      <c r="S184" t="s">
        <v>573</v>
      </c>
      <c r="T184" t="s">
        <v>573</v>
      </c>
    </row>
    <row r="185" spans="1:20" x14ac:dyDescent="0.3">
      <c r="A185">
        <v>15733654</v>
      </c>
      <c r="B185" t="s">
        <v>275</v>
      </c>
      <c r="C185" s="51">
        <v>46300.618055555555</v>
      </c>
      <c r="E185" t="s">
        <v>205</v>
      </c>
      <c r="F185" t="s">
        <v>196</v>
      </c>
      <c r="G185" t="s">
        <v>197</v>
      </c>
      <c r="H185" t="s">
        <v>1899</v>
      </c>
      <c r="J185" t="s">
        <v>1900</v>
      </c>
      <c r="K185" t="s">
        <v>198</v>
      </c>
      <c r="L185" t="s">
        <v>199</v>
      </c>
      <c r="O185" s="51">
        <v>46303.877083333333</v>
      </c>
      <c r="P185" t="s">
        <v>1901</v>
      </c>
      <c r="Q185" t="s">
        <v>559</v>
      </c>
      <c r="R185" t="s">
        <v>560</v>
      </c>
      <c r="S185" t="s">
        <v>558</v>
      </c>
      <c r="T185" t="s">
        <v>558</v>
      </c>
    </row>
    <row r="186" spans="1:20" x14ac:dyDescent="0.3">
      <c r="A186">
        <v>15733624</v>
      </c>
      <c r="B186" t="s">
        <v>275</v>
      </c>
      <c r="C186" s="51">
        <v>46300.611111111109</v>
      </c>
      <c r="E186" t="s">
        <v>195</v>
      </c>
      <c r="F186" t="s">
        <v>196</v>
      </c>
      <c r="G186" t="s">
        <v>197</v>
      </c>
      <c r="H186" t="s">
        <v>1902</v>
      </c>
      <c r="J186" t="s">
        <v>1903</v>
      </c>
      <c r="K186" t="s">
        <v>198</v>
      </c>
      <c r="L186" t="s">
        <v>199</v>
      </c>
      <c r="O186" s="51">
        <v>46302.875694444447</v>
      </c>
      <c r="P186" t="s">
        <v>1904</v>
      </c>
      <c r="Q186" t="s">
        <v>359</v>
      </c>
      <c r="R186" t="s">
        <v>360</v>
      </c>
      <c r="S186" t="s">
        <v>358</v>
      </c>
      <c r="T186" t="s">
        <v>358</v>
      </c>
    </row>
    <row r="187" spans="1:20" x14ac:dyDescent="0.3">
      <c r="A187">
        <v>15733496</v>
      </c>
      <c r="B187" t="s">
        <v>275</v>
      </c>
      <c r="C187" s="51">
        <v>46300.602083333331</v>
      </c>
      <c r="E187" t="s">
        <v>205</v>
      </c>
      <c r="F187" t="s">
        <v>196</v>
      </c>
      <c r="G187" t="s">
        <v>197</v>
      </c>
      <c r="H187" t="s">
        <v>1905</v>
      </c>
      <c r="J187" t="s">
        <v>1906</v>
      </c>
      <c r="K187" t="s">
        <v>198</v>
      </c>
      <c r="L187" t="s">
        <v>199</v>
      </c>
      <c r="O187" s="51">
        <v>46301.875694444447</v>
      </c>
      <c r="P187" t="s">
        <v>1907</v>
      </c>
      <c r="Q187" t="s">
        <v>559</v>
      </c>
      <c r="R187" t="s">
        <v>560</v>
      </c>
      <c r="S187" t="s">
        <v>558</v>
      </c>
      <c r="T187" t="s">
        <v>558</v>
      </c>
    </row>
    <row r="188" spans="1:20" x14ac:dyDescent="0.3">
      <c r="A188">
        <v>15733480</v>
      </c>
      <c r="B188" t="s">
        <v>275</v>
      </c>
      <c r="C188" s="51">
        <v>46300.597916666666</v>
      </c>
      <c r="E188" t="s">
        <v>195</v>
      </c>
      <c r="F188" t="s">
        <v>196</v>
      </c>
      <c r="G188" t="s">
        <v>197</v>
      </c>
      <c r="H188" t="s">
        <v>1908</v>
      </c>
      <c r="J188" t="s">
        <v>1909</v>
      </c>
      <c r="K188" t="s">
        <v>198</v>
      </c>
      <c r="L188" t="s">
        <v>199</v>
      </c>
      <c r="O188" s="51">
        <v>46301.875694444447</v>
      </c>
      <c r="P188" t="s">
        <v>1910</v>
      </c>
      <c r="Q188" t="s">
        <v>388</v>
      </c>
      <c r="R188" t="s">
        <v>441</v>
      </c>
      <c r="S188" t="s">
        <v>460</v>
      </c>
      <c r="T188" t="s">
        <v>460</v>
      </c>
    </row>
    <row r="189" spans="1:20" x14ac:dyDescent="0.3">
      <c r="A189">
        <v>15733430</v>
      </c>
      <c r="B189" t="s">
        <v>275</v>
      </c>
      <c r="C189" s="51">
        <v>46300.588194444441</v>
      </c>
      <c r="E189" t="s">
        <v>195</v>
      </c>
      <c r="F189" t="s">
        <v>196</v>
      </c>
      <c r="G189" t="s">
        <v>197</v>
      </c>
      <c r="H189" t="s">
        <v>1911</v>
      </c>
      <c r="J189" t="s">
        <v>1912</v>
      </c>
      <c r="K189" t="s">
        <v>198</v>
      </c>
      <c r="L189" t="s">
        <v>199</v>
      </c>
      <c r="O189" s="51">
        <v>46301.875694444447</v>
      </c>
      <c r="P189" t="s">
        <v>1913</v>
      </c>
      <c r="Q189" t="s">
        <v>342</v>
      </c>
      <c r="R189" t="s">
        <v>343</v>
      </c>
      <c r="S189" t="s">
        <v>1914</v>
      </c>
      <c r="T189" t="s">
        <v>1914</v>
      </c>
    </row>
    <row r="190" spans="1:20" x14ac:dyDescent="0.3">
      <c r="A190">
        <v>15733396</v>
      </c>
      <c r="B190" t="s">
        <v>275</v>
      </c>
      <c r="C190" s="51">
        <v>46300.585416666669</v>
      </c>
      <c r="E190" t="s">
        <v>204</v>
      </c>
      <c r="F190" t="s">
        <v>196</v>
      </c>
      <c r="G190" t="s">
        <v>197</v>
      </c>
      <c r="H190" t="s">
        <v>1915</v>
      </c>
      <c r="J190" t="s">
        <v>1916</v>
      </c>
      <c r="K190" t="s">
        <v>198</v>
      </c>
      <c r="L190" t="s">
        <v>199</v>
      </c>
      <c r="O190" s="51">
        <v>46301.875694444447</v>
      </c>
      <c r="P190" t="s">
        <v>1917</v>
      </c>
      <c r="Q190" t="s">
        <v>342</v>
      </c>
      <c r="R190" t="s">
        <v>343</v>
      </c>
      <c r="S190" t="s">
        <v>1914</v>
      </c>
      <c r="T190" t="s">
        <v>1914</v>
      </c>
    </row>
    <row r="191" spans="1:20" x14ac:dyDescent="0.3">
      <c r="A191">
        <v>15733252</v>
      </c>
      <c r="B191" t="s">
        <v>275</v>
      </c>
      <c r="C191" s="51">
        <v>46300.57708333333</v>
      </c>
      <c r="E191" t="s">
        <v>195</v>
      </c>
      <c r="F191" t="s">
        <v>196</v>
      </c>
      <c r="G191" t="s">
        <v>197</v>
      </c>
      <c r="H191" t="s">
        <v>1918</v>
      </c>
      <c r="J191" t="s">
        <v>1919</v>
      </c>
      <c r="K191" t="s">
        <v>198</v>
      </c>
      <c r="L191" t="s">
        <v>199</v>
      </c>
      <c r="O191" s="51">
        <v>46301.876388888886</v>
      </c>
      <c r="P191" t="s">
        <v>1920</v>
      </c>
      <c r="Q191" t="s">
        <v>206</v>
      </c>
      <c r="R191" t="s">
        <v>363</v>
      </c>
      <c r="S191" t="s">
        <v>1921</v>
      </c>
      <c r="T191" t="s">
        <v>1921</v>
      </c>
    </row>
    <row r="192" spans="1:20" x14ac:dyDescent="0.3">
      <c r="A192">
        <v>15733226</v>
      </c>
      <c r="B192" t="s">
        <v>275</v>
      </c>
      <c r="C192" s="51">
        <v>46300.572916666664</v>
      </c>
      <c r="E192" t="s">
        <v>195</v>
      </c>
      <c r="F192" t="s">
        <v>196</v>
      </c>
      <c r="G192" t="s">
        <v>197</v>
      </c>
      <c r="H192" t="s">
        <v>1922</v>
      </c>
      <c r="J192" t="s">
        <v>1923</v>
      </c>
      <c r="K192" t="s">
        <v>198</v>
      </c>
      <c r="L192" t="s">
        <v>199</v>
      </c>
      <c r="O192" s="51">
        <v>46301.875694444447</v>
      </c>
      <c r="P192" t="s">
        <v>1924</v>
      </c>
      <c r="Q192" t="s">
        <v>214</v>
      </c>
      <c r="R192" t="s">
        <v>215</v>
      </c>
      <c r="S192" t="s">
        <v>1925</v>
      </c>
      <c r="T192" t="s">
        <v>1925</v>
      </c>
    </row>
    <row r="193" spans="1:20" x14ac:dyDescent="0.3">
      <c r="A193">
        <v>15733210</v>
      </c>
      <c r="B193" t="s">
        <v>275</v>
      </c>
      <c r="C193" s="51">
        <v>46300.569444444445</v>
      </c>
      <c r="E193" t="s">
        <v>195</v>
      </c>
      <c r="F193" t="s">
        <v>196</v>
      </c>
      <c r="G193" t="s">
        <v>197</v>
      </c>
      <c r="H193" t="s">
        <v>1926</v>
      </c>
      <c r="J193" t="s">
        <v>1927</v>
      </c>
      <c r="K193" t="s">
        <v>198</v>
      </c>
      <c r="L193" t="s">
        <v>199</v>
      </c>
      <c r="O193" s="51">
        <v>46301.875694444447</v>
      </c>
      <c r="P193" t="s">
        <v>1928</v>
      </c>
      <c r="Q193" t="s">
        <v>611</v>
      </c>
      <c r="R193" t="s">
        <v>612</v>
      </c>
      <c r="S193" t="s">
        <v>1929</v>
      </c>
      <c r="T193" t="s">
        <v>1929</v>
      </c>
    </row>
    <row r="194" spans="1:20" x14ac:dyDescent="0.3">
      <c r="A194">
        <v>15733198</v>
      </c>
      <c r="B194" t="s">
        <v>275</v>
      </c>
      <c r="C194" s="51">
        <v>46300.565972222219</v>
      </c>
      <c r="E194" t="s">
        <v>201</v>
      </c>
      <c r="F194" t="s">
        <v>196</v>
      </c>
      <c r="G194" t="s">
        <v>197</v>
      </c>
      <c r="H194" t="s">
        <v>1930</v>
      </c>
      <c r="J194" t="s">
        <v>1931</v>
      </c>
      <c r="K194" t="s">
        <v>198</v>
      </c>
      <c r="L194" t="s">
        <v>199</v>
      </c>
      <c r="O194" s="51">
        <v>46301.876388888886</v>
      </c>
      <c r="P194" t="s">
        <v>1932</v>
      </c>
      <c r="Q194" t="s">
        <v>224</v>
      </c>
      <c r="R194" t="s">
        <v>210</v>
      </c>
      <c r="S194" t="s">
        <v>223</v>
      </c>
      <c r="T194" t="s">
        <v>223</v>
      </c>
    </row>
    <row r="195" spans="1:20" x14ac:dyDescent="0.3">
      <c r="A195">
        <v>15733058</v>
      </c>
      <c r="B195" t="s">
        <v>275</v>
      </c>
      <c r="C195" s="51">
        <v>46300.561805555553</v>
      </c>
      <c r="E195" t="s">
        <v>195</v>
      </c>
      <c r="F195" t="s">
        <v>196</v>
      </c>
      <c r="G195" t="s">
        <v>197</v>
      </c>
      <c r="H195" t="s">
        <v>1933</v>
      </c>
      <c r="J195" t="s">
        <v>1934</v>
      </c>
      <c r="K195" t="s">
        <v>198</v>
      </c>
      <c r="L195" t="s">
        <v>199</v>
      </c>
      <c r="O195" s="51">
        <v>46301.876388888886</v>
      </c>
      <c r="P195" t="s">
        <v>1935</v>
      </c>
      <c r="Q195" t="s">
        <v>1936</v>
      </c>
      <c r="R195" t="s">
        <v>1937</v>
      </c>
      <c r="S195" t="s">
        <v>1938</v>
      </c>
      <c r="T195" t="s">
        <v>1938</v>
      </c>
    </row>
    <row r="196" spans="1:20" x14ac:dyDescent="0.3">
      <c r="A196">
        <v>15733036</v>
      </c>
      <c r="B196" t="s">
        <v>275</v>
      </c>
      <c r="C196" s="51">
        <v>46300.557638888888</v>
      </c>
      <c r="E196" t="s">
        <v>195</v>
      </c>
      <c r="F196" t="s">
        <v>196</v>
      </c>
      <c r="G196" t="s">
        <v>197</v>
      </c>
      <c r="H196" t="s">
        <v>1939</v>
      </c>
      <c r="J196" t="s">
        <v>1940</v>
      </c>
      <c r="K196" t="s">
        <v>198</v>
      </c>
      <c r="L196" t="s">
        <v>199</v>
      </c>
      <c r="O196" s="51">
        <v>46301.875694444447</v>
      </c>
      <c r="P196" t="s">
        <v>1941</v>
      </c>
      <c r="Q196" t="s">
        <v>261</v>
      </c>
      <c r="R196" t="s">
        <v>428</v>
      </c>
      <c r="S196" t="s">
        <v>1658</v>
      </c>
      <c r="T196" t="s">
        <v>1658</v>
      </c>
    </row>
    <row r="197" spans="1:20" x14ac:dyDescent="0.3">
      <c r="A197">
        <v>15733026</v>
      </c>
      <c r="B197" t="s">
        <v>275</v>
      </c>
      <c r="C197" s="51">
        <v>46300.554166666669</v>
      </c>
      <c r="E197" t="s">
        <v>204</v>
      </c>
      <c r="F197" t="s">
        <v>196</v>
      </c>
      <c r="G197" t="s">
        <v>197</v>
      </c>
      <c r="H197" t="s">
        <v>1942</v>
      </c>
      <c r="J197" t="s">
        <v>1943</v>
      </c>
      <c r="K197" t="s">
        <v>198</v>
      </c>
      <c r="L197" t="s">
        <v>199</v>
      </c>
      <c r="O197" s="51">
        <v>46301.876388888886</v>
      </c>
      <c r="P197" t="s">
        <v>1944</v>
      </c>
      <c r="Q197" t="s">
        <v>442</v>
      </c>
      <c r="R197" t="s">
        <v>443</v>
      </c>
      <c r="S197" t="s">
        <v>561</v>
      </c>
      <c r="T197" t="s">
        <v>561</v>
      </c>
    </row>
    <row r="198" spans="1:20" x14ac:dyDescent="0.3">
      <c r="A198">
        <v>15732610</v>
      </c>
      <c r="B198" t="s">
        <v>275</v>
      </c>
      <c r="C198" s="51">
        <v>46300.515972222223</v>
      </c>
      <c r="E198" t="s">
        <v>195</v>
      </c>
      <c r="F198" t="s">
        <v>196</v>
      </c>
      <c r="G198" t="s">
        <v>197</v>
      </c>
      <c r="H198" t="s">
        <v>1945</v>
      </c>
      <c r="J198" t="s">
        <v>1946</v>
      </c>
      <c r="K198" t="s">
        <v>198</v>
      </c>
      <c r="L198" t="s">
        <v>199</v>
      </c>
      <c r="O198" s="51">
        <v>46301.876388888886</v>
      </c>
      <c r="P198" t="s">
        <v>1947</v>
      </c>
      <c r="Q198" t="s">
        <v>1640</v>
      </c>
      <c r="R198" t="s">
        <v>212</v>
      </c>
      <c r="S198" t="s">
        <v>1641</v>
      </c>
      <c r="T198" t="s">
        <v>1641</v>
      </c>
    </row>
    <row r="199" spans="1:20" x14ac:dyDescent="0.3">
      <c r="A199">
        <v>15732056</v>
      </c>
      <c r="B199" t="s">
        <v>275</v>
      </c>
      <c r="C199" s="51">
        <v>46300.497916666667</v>
      </c>
      <c r="E199" t="s">
        <v>195</v>
      </c>
      <c r="F199" t="s">
        <v>196</v>
      </c>
      <c r="G199" t="s">
        <v>197</v>
      </c>
      <c r="H199" t="s">
        <v>1948</v>
      </c>
      <c r="J199" t="s">
        <v>1949</v>
      </c>
      <c r="K199" t="s">
        <v>198</v>
      </c>
      <c r="L199" t="s">
        <v>199</v>
      </c>
      <c r="O199" s="51">
        <v>46301.876388888886</v>
      </c>
      <c r="P199" t="s">
        <v>1950</v>
      </c>
      <c r="Q199" t="s">
        <v>304</v>
      </c>
      <c r="R199" t="s">
        <v>305</v>
      </c>
      <c r="S199" t="s">
        <v>542</v>
      </c>
      <c r="T199" t="s">
        <v>542</v>
      </c>
    </row>
    <row r="200" spans="1:20" x14ac:dyDescent="0.3">
      <c r="A200">
        <v>15732036</v>
      </c>
      <c r="B200" t="s">
        <v>275</v>
      </c>
      <c r="C200" s="51">
        <v>46300.492361111108</v>
      </c>
      <c r="E200" t="s">
        <v>195</v>
      </c>
      <c r="F200" t="s">
        <v>196</v>
      </c>
      <c r="G200" t="s">
        <v>197</v>
      </c>
      <c r="H200" t="s">
        <v>1951</v>
      </c>
      <c r="J200" t="s">
        <v>1952</v>
      </c>
      <c r="K200" t="s">
        <v>198</v>
      </c>
      <c r="L200" t="s">
        <v>199</v>
      </c>
      <c r="O200" s="51">
        <v>46302.875694444447</v>
      </c>
      <c r="P200" t="s">
        <v>1953</v>
      </c>
      <c r="Q200" t="s">
        <v>1954</v>
      </c>
      <c r="R200" t="s">
        <v>1955</v>
      </c>
      <c r="S200" t="s">
        <v>1956</v>
      </c>
      <c r="T200" t="s">
        <v>1956</v>
      </c>
    </row>
    <row r="201" spans="1:20" x14ac:dyDescent="0.3">
      <c r="A201">
        <v>15732026</v>
      </c>
      <c r="B201" t="s">
        <v>275</v>
      </c>
      <c r="C201" s="51">
        <v>46300.489583333336</v>
      </c>
      <c r="E201" t="s">
        <v>201</v>
      </c>
      <c r="F201" t="s">
        <v>196</v>
      </c>
      <c r="G201" t="s">
        <v>197</v>
      </c>
      <c r="H201" t="s">
        <v>1957</v>
      </c>
      <c r="J201" t="s">
        <v>1958</v>
      </c>
      <c r="K201" t="s">
        <v>198</v>
      </c>
      <c r="L201" t="s">
        <v>199</v>
      </c>
      <c r="O201" s="51">
        <v>46301.875694444447</v>
      </c>
      <c r="P201" t="s">
        <v>1959</v>
      </c>
      <c r="Q201" t="s">
        <v>333</v>
      </c>
      <c r="R201" t="s">
        <v>334</v>
      </c>
      <c r="S201" t="s">
        <v>1960</v>
      </c>
      <c r="T201" t="s">
        <v>1960</v>
      </c>
    </row>
    <row r="202" spans="1:20" x14ac:dyDescent="0.3">
      <c r="A202">
        <v>15732004</v>
      </c>
      <c r="B202" t="s">
        <v>275</v>
      </c>
      <c r="C202" s="51">
        <v>46300.481944444444</v>
      </c>
      <c r="E202" t="s">
        <v>195</v>
      </c>
      <c r="F202" t="s">
        <v>196</v>
      </c>
      <c r="G202" t="s">
        <v>197</v>
      </c>
      <c r="H202" t="s">
        <v>1961</v>
      </c>
      <c r="J202" t="s">
        <v>1962</v>
      </c>
      <c r="K202" t="s">
        <v>198</v>
      </c>
      <c r="L202" t="s">
        <v>199</v>
      </c>
      <c r="O202" s="51">
        <v>46301.875694444447</v>
      </c>
      <c r="P202" t="s">
        <v>1963</v>
      </c>
      <c r="Q202" t="s">
        <v>202</v>
      </c>
      <c r="R202" t="s">
        <v>203</v>
      </c>
      <c r="S202" t="s">
        <v>399</v>
      </c>
      <c r="T202" t="s">
        <v>399</v>
      </c>
    </row>
    <row r="203" spans="1:20" x14ac:dyDescent="0.3">
      <c r="A203">
        <v>15731854</v>
      </c>
      <c r="B203" t="s">
        <v>275</v>
      </c>
      <c r="C203" s="51">
        <v>46300.477083333331</v>
      </c>
      <c r="E203" t="s">
        <v>205</v>
      </c>
      <c r="F203" t="s">
        <v>196</v>
      </c>
      <c r="G203" t="s">
        <v>197</v>
      </c>
      <c r="H203" t="s">
        <v>1964</v>
      </c>
      <c r="J203" t="s">
        <v>1965</v>
      </c>
      <c r="K203" t="s">
        <v>198</v>
      </c>
      <c r="L203" t="s">
        <v>199</v>
      </c>
      <c r="O203" s="51">
        <v>46301.875694444447</v>
      </c>
      <c r="P203" t="s">
        <v>1966</v>
      </c>
      <c r="Q203" t="s">
        <v>231</v>
      </c>
      <c r="R203" t="s">
        <v>232</v>
      </c>
      <c r="S203" t="s">
        <v>1967</v>
      </c>
      <c r="T203" t="s">
        <v>1967</v>
      </c>
    </row>
    <row r="204" spans="1:20" x14ac:dyDescent="0.3">
      <c r="A204">
        <v>15731844</v>
      </c>
      <c r="B204" t="s">
        <v>275</v>
      </c>
      <c r="C204" s="51">
        <v>46300.472222222219</v>
      </c>
      <c r="E204" t="s">
        <v>204</v>
      </c>
      <c r="F204" t="s">
        <v>196</v>
      </c>
      <c r="G204" t="s">
        <v>197</v>
      </c>
      <c r="H204" t="s">
        <v>1968</v>
      </c>
      <c r="J204" t="s">
        <v>1969</v>
      </c>
      <c r="K204" t="s">
        <v>198</v>
      </c>
      <c r="L204" t="s">
        <v>199</v>
      </c>
      <c r="O204" s="51">
        <v>46301.876388888886</v>
      </c>
      <c r="P204" t="s">
        <v>1970</v>
      </c>
      <c r="Q204" t="s">
        <v>272</v>
      </c>
      <c r="R204" t="s">
        <v>301</v>
      </c>
      <c r="S204" t="s">
        <v>1971</v>
      </c>
      <c r="T204" t="s">
        <v>1971</v>
      </c>
    </row>
    <row r="205" spans="1:20" x14ac:dyDescent="0.3">
      <c r="A205">
        <v>15731834</v>
      </c>
      <c r="B205" t="s">
        <v>275</v>
      </c>
      <c r="C205" s="51">
        <v>46300.469444444447</v>
      </c>
      <c r="E205" t="s">
        <v>204</v>
      </c>
      <c r="F205" t="s">
        <v>196</v>
      </c>
      <c r="G205" t="s">
        <v>197</v>
      </c>
      <c r="H205" t="s">
        <v>1972</v>
      </c>
      <c r="J205" t="s">
        <v>1973</v>
      </c>
      <c r="K205" t="s">
        <v>198</v>
      </c>
      <c r="L205" t="s">
        <v>199</v>
      </c>
      <c r="O205" s="51">
        <v>46301.875694444447</v>
      </c>
      <c r="P205" t="s">
        <v>1974</v>
      </c>
      <c r="Q205" t="s">
        <v>433</v>
      </c>
      <c r="R205" t="s">
        <v>1975</v>
      </c>
      <c r="S205" t="s">
        <v>1976</v>
      </c>
      <c r="T205" t="s">
        <v>1976</v>
      </c>
    </row>
    <row r="206" spans="1:20" x14ac:dyDescent="0.3">
      <c r="A206">
        <v>15731820</v>
      </c>
      <c r="B206" t="s">
        <v>275</v>
      </c>
      <c r="C206" s="51">
        <v>46300.466666666667</v>
      </c>
      <c r="E206" t="s">
        <v>204</v>
      </c>
      <c r="F206" t="s">
        <v>196</v>
      </c>
      <c r="G206" t="s">
        <v>197</v>
      </c>
      <c r="H206" t="s">
        <v>1977</v>
      </c>
      <c r="J206" t="s">
        <v>1978</v>
      </c>
      <c r="K206" t="s">
        <v>198</v>
      </c>
      <c r="L206" t="s">
        <v>199</v>
      </c>
      <c r="O206" s="51">
        <v>46301.875694444447</v>
      </c>
      <c r="P206" t="s">
        <v>1979</v>
      </c>
      <c r="Q206" t="s">
        <v>433</v>
      </c>
      <c r="R206" t="s">
        <v>1975</v>
      </c>
      <c r="S206" t="s">
        <v>1976</v>
      </c>
      <c r="T206" t="s">
        <v>1976</v>
      </c>
    </row>
    <row r="207" spans="1:20" x14ac:dyDescent="0.3">
      <c r="A207">
        <v>15731794</v>
      </c>
      <c r="B207" t="s">
        <v>275</v>
      </c>
      <c r="C207" s="51">
        <v>46300.461111111108</v>
      </c>
      <c r="E207" t="s">
        <v>201</v>
      </c>
      <c r="F207" t="s">
        <v>196</v>
      </c>
      <c r="G207" t="s">
        <v>197</v>
      </c>
      <c r="H207" t="s">
        <v>1980</v>
      </c>
      <c r="J207" t="s">
        <v>1981</v>
      </c>
      <c r="K207" t="s">
        <v>198</v>
      </c>
      <c r="L207" t="s">
        <v>199</v>
      </c>
      <c r="O207" s="51">
        <v>46301.875694444447</v>
      </c>
      <c r="P207" t="s">
        <v>1982</v>
      </c>
      <c r="Q207" t="s">
        <v>457</v>
      </c>
      <c r="R207" t="s">
        <v>458</v>
      </c>
      <c r="S207" t="s">
        <v>1983</v>
      </c>
      <c r="T207" t="s">
        <v>1983</v>
      </c>
    </row>
    <row r="208" spans="1:20" x14ac:dyDescent="0.3">
      <c r="A208">
        <v>15731664</v>
      </c>
      <c r="B208" t="s">
        <v>275</v>
      </c>
      <c r="C208" s="51">
        <v>46300.457638888889</v>
      </c>
      <c r="E208" t="s">
        <v>201</v>
      </c>
      <c r="F208" t="s">
        <v>196</v>
      </c>
      <c r="G208" t="s">
        <v>197</v>
      </c>
      <c r="H208" t="s">
        <v>1984</v>
      </c>
      <c r="J208" t="s">
        <v>1985</v>
      </c>
      <c r="K208" t="s">
        <v>249</v>
      </c>
      <c r="L208" t="s">
        <v>199</v>
      </c>
      <c r="O208" s="51">
        <v>46301.875694444447</v>
      </c>
      <c r="P208" t="s">
        <v>1986</v>
      </c>
      <c r="Q208" t="s">
        <v>206</v>
      </c>
      <c r="R208" t="s">
        <v>363</v>
      </c>
      <c r="S208" t="s">
        <v>1987</v>
      </c>
      <c r="T208" t="s">
        <v>1987</v>
      </c>
    </row>
    <row r="209" spans="1:20" x14ac:dyDescent="0.3">
      <c r="A209">
        <v>15731658</v>
      </c>
      <c r="B209" t="s">
        <v>275</v>
      </c>
      <c r="C209" s="51">
        <v>46300.456944444442</v>
      </c>
      <c r="E209" t="s">
        <v>201</v>
      </c>
      <c r="F209" t="s">
        <v>196</v>
      </c>
      <c r="G209" t="s">
        <v>197</v>
      </c>
      <c r="H209" t="s">
        <v>1988</v>
      </c>
      <c r="J209" t="s">
        <v>1989</v>
      </c>
      <c r="K209" t="s">
        <v>249</v>
      </c>
      <c r="L209" t="s">
        <v>199</v>
      </c>
      <c r="O209" s="51">
        <v>46302.876388888886</v>
      </c>
      <c r="P209" t="s">
        <v>1990</v>
      </c>
      <c r="Q209" t="s">
        <v>206</v>
      </c>
      <c r="R209" t="s">
        <v>363</v>
      </c>
      <c r="S209" t="s">
        <v>1987</v>
      </c>
      <c r="T209" t="s">
        <v>1987</v>
      </c>
    </row>
    <row r="210" spans="1:20" x14ac:dyDescent="0.3">
      <c r="A210">
        <v>15731652</v>
      </c>
      <c r="B210" t="s">
        <v>275</v>
      </c>
      <c r="C210" s="51">
        <v>46300.454861111109</v>
      </c>
      <c r="E210" t="s">
        <v>205</v>
      </c>
      <c r="F210" t="s">
        <v>196</v>
      </c>
      <c r="G210" t="s">
        <v>197</v>
      </c>
      <c r="H210" t="s">
        <v>1991</v>
      </c>
      <c r="J210" t="s">
        <v>1992</v>
      </c>
      <c r="K210" t="s">
        <v>249</v>
      </c>
      <c r="L210" t="s">
        <v>199</v>
      </c>
      <c r="O210" s="51">
        <v>46300.875694444447</v>
      </c>
      <c r="P210" t="s">
        <v>1993</v>
      </c>
      <c r="Q210" t="s">
        <v>351</v>
      </c>
      <c r="R210" t="s">
        <v>352</v>
      </c>
      <c r="S210" t="s">
        <v>1994</v>
      </c>
      <c r="T210" t="s">
        <v>1994</v>
      </c>
    </row>
    <row r="211" spans="1:20" x14ac:dyDescent="0.3">
      <c r="A211">
        <v>15731650</v>
      </c>
      <c r="B211" t="s">
        <v>275</v>
      </c>
      <c r="C211" s="51">
        <v>46300.45416666667</v>
      </c>
      <c r="E211" t="s">
        <v>251</v>
      </c>
      <c r="F211" t="s">
        <v>196</v>
      </c>
      <c r="G211" t="s">
        <v>197</v>
      </c>
      <c r="H211" t="s">
        <v>1995</v>
      </c>
      <c r="J211" t="s">
        <v>1996</v>
      </c>
      <c r="K211" t="s">
        <v>249</v>
      </c>
      <c r="L211" t="s">
        <v>199</v>
      </c>
      <c r="O211" s="51">
        <v>46301.876388888886</v>
      </c>
      <c r="P211" t="s">
        <v>1997</v>
      </c>
      <c r="Q211" t="s">
        <v>1455</v>
      </c>
      <c r="R211" t="s">
        <v>1456</v>
      </c>
      <c r="S211" t="s">
        <v>1998</v>
      </c>
      <c r="T211" t="s">
        <v>1998</v>
      </c>
    </row>
    <row r="212" spans="1:20" x14ac:dyDescent="0.3">
      <c r="A212">
        <v>15731632</v>
      </c>
      <c r="B212" t="s">
        <v>275</v>
      </c>
      <c r="C212" s="51">
        <v>46300.45</v>
      </c>
      <c r="E212" t="s">
        <v>195</v>
      </c>
      <c r="F212" t="s">
        <v>196</v>
      </c>
      <c r="G212" t="s">
        <v>197</v>
      </c>
      <c r="H212" t="s">
        <v>1999</v>
      </c>
      <c r="J212" t="s">
        <v>2000</v>
      </c>
      <c r="K212" t="s">
        <v>198</v>
      </c>
      <c r="L212" t="s">
        <v>199</v>
      </c>
      <c r="O212" s="51">
        <v>46301.875694444447</v>
      </c>
      <c r="P212" t="s">
        <v>2001</v>
      </c>
      <c r="Q212" t="s">
        <v>286</v>
      </c>
      <c r="R212" t="s">
        <v>287</v>
      </c>
      <c r="S212" t="s">
        <v>1453</v>
      </c>
      <c r="T212" t="s">
        <v>1453</v>
      </c>
    </row>
    <row r="213" spans="1:20" x14ac:dyDescent="0.3">
      <c r="A213">
        <v>15731604</v>
      </c>
      <c r="B213" t="s">
        <v>275</v>
      </c>
      <c r="C213" s="51">
        <v>46300.441666666666</v>
      </c>
      <c r="E213" t="s">
        <v>201</v>
      </c>
      <c r="F213" t="s">
        <v>196</v>
      </c>
      <c r="G213" t="s">
        <v>197</v>
      </c>
      <c r="H213" t="s">
        <v>2002</v>
      </c>
      <c r="J213" t="s">
        <v>2003</v>
      </c>
      <c r="K213" t="s">
        <v>249</v>
      </c>
      <c r="L213" t="s">
        <v>199</v>
      </c>
      <c r="O213" s="51">
        <v>46301.875694444447</v>
      </c>
      <c r="P213" t="s">
        <v>2004</v>
      </c>
      <c r="Q213" t="s">
        <v>414</v>
      </c>
      <c r="R213" t="s">
        <v>415</v>
      </c>
      <c r="S213" t="s">
        <v>604</v>
      </c>
      <c r="T213" t="s">
        <v>604</v>
      </c>
    </row>
    <row r="214" spans="1:20" x14ac:dyDescent="0.3">
      <c r="A214">
        <v>15731596</v>
      </c>
      <c r="B214" t="s">
        <v>275</v>
      </c>
      <c r="C214" s="51">
        <v>46300.44027777778</v>
      </c>
      <c r="E214" t="s">
        <v>220</v>
      </c>
      <c r="F214" t="s">
        <v>196</v>
      </c>
      <c r="G214" t="s">
        <v>197</v>
      </c>
      <c r="H214" t="s">
        <v>2005</v>
      </c>
      <c r="J214" t="s">
        <v>2006</v>
      </c>
      <c r="K214" t="s">
        <v>249</v>
      </c>
      <c r="L214" t="s">
        <v>199</v>
      </c>
      <c r="O214" s="51">
        <v>46300.875694444447</v>
      </c>
      <c r="P214" t="s">
        <v>2007</v>
      </c>
      <c r="Q214" t="s">
        <v>2008</v>
      </c>
      <c r="R214" t="s">
        <v>2009</v>
      </c>
      <c r="S214" t="s">
        <v>2010</v>
      </c>
      <c r="T214" t="s">
        <v>2010</v>
      </c>
    </row>
    <row r="215" spans="1:20" x14ac:dyDescent="0.3">
      <c r="A215">
        <v>15731522</v>
      </c>
      <c r="B215" t="s">
        <v>275</v>
      </c>
      <c r="C215" s="51">
        <v>46300.436805555553</v>
      </c>
      <c r="E215" t="s">
        <v>220</v>
      </c>
      <c r="F215" t="s">
        <v>196</v>
      </c>
      <c r="G215" t="s">
        <v>197</v>
      </c>
      <c r="H215" t="s">
        <v>2011</v>
      </c>
      <c r="J215" t="s">
        <v>2012</v>
      </c>
      <c r="K215" t="s">
        <v>249</v>
      </c>
      <c r="L215" t="s">
        <v>199</v>
      </c>
      <c r="O215" s="51">
        <v>46301.876388888886</v>
      </c>
      <c r="P215" t="s">
        <v>2013</v>
      </c>
      <c r="Q215" t="s">
        <v>2008</v>
      </c>
      <c r="R215" t="s">
        <v>2009</v>
      </c>
      <c r="S215" t="s">
        <v>2010</v>
      </c>
      <c r="T215" t="s">
        <v>2010</v>
      </c>
    </row>
    <row r="216" spans="1:20" x14ac:dyDescent="0.3">
      <c r="A216">
        <v>15731518</v>
      </c>
      <c r="B216" t="s">
        <v>275</v>
      </c>
      <c r="C216" s="51">
        <v>46300.436111111114</v>
      </c>
      <c r="E216" t="s">
        <v>201</v>
      </c>
      <c r="F216" t="s">
        <v>196</v>
      </c>
      <c r="G216" t="s">
        <v>197</v>
      </c>
      <c r="H216" t="s">
        <v>2014</v>
      </c>
      <c r="J216" t="s">
        <v>2015</v>
      </c>
      <c r="K216" t="s">
        <v>249</v>
      </c>
      <c r="L216" t="s">
        <v>199</v>
      </c>
      <c r="O216" s="51">
        <v>46300.875694444447</v>
      </c>
      <c r="P216" t="s">
        <v>2016</v>
      </c>
      <c r="Q216" t="s">
        <v>221</v>
      </c>
      <c r="R216" t="s">
        <v>222</v>
      </c>
      <c r="S216" t="s">
        <v>2017</v>
      </c>
      <c r="T216" t="s">
        <v>2017</v>
      </c>
    </row>
    <row r="217" spans="1:20" x14ac:dyDescent="0.3">
      <c r="A217">
        <v>15731514</v>
      </c>
      <c r="B217" t="s">
        <v>275</v>
      </c>
      <c r="C217" s="51">
        <v>46300.435416666667</v>
      </c>
      <c r="E217" t="s">
        <v>213</v>
      </c>
      <c r="F217" t="s">
        <v>196</v>
      </c>
      <c r="G217" t="s">
        <v>197</v>
      </c>
      <c r="H217" t="s">
        <v>2018</v>
      </c>
      <c r="J217" t="s">
        <v>2019</v>
      </c>
      <c r="K217" t="s">
        <v>198</v>
      </c>
      <c r="L217" t="s">
        <v>199</v>
      </c>
      <c r="O217" s="51">
        <v>46301.875694444447</v>
      </c>
      <c r="P217" t="s">
        <v>2020</v>
      </c>
      <c r="Q217" t="s">
        <v>286</v>
      </c>
      <c r="R217" t="s">
        <v>287</v>
      </c>
      <c r="S217" t="s">
        <v>1453</v>
      </c>
      <c r="T217" t="s">
        <v>1453</v>
      </c>
    </row>
    <row r="218" spans="1:20" x14ac:dyDescent="0.3">
      <c r="A218">
        <v>15731512</v>
      </c>
      <c r="B218" t="s">
        <v>275</v>
      </c>
      <c r="C218" s="51">
        <v>46300.435416666667</v>
      </c>
      <c r="E218" t="s">
        <v>213</v>
      </c>
      <c r="F218" t="s">
        <v>196</v>
      </c>
      <c r="G218" t="s">
        <v>197</v>
      </c>
      <c r="H218" t="s">
        <v>2021</v>
      </c>
      <c r="J218" t="s">
        <v>2022</v>
      </c>
      <c r="K218" t="s">
        <v>249</v>
      </c>
      <c r="L218" t="s">
        <v>199</v>
      </c>
      <c r="O218" s="51">
        <v>46300.876388888886</v>
      </c>
      <c r="P218" t="s">
        <v>2023</v>
      </c>
      <c r="Q218" t="s">
        <v>221</v>
      </c>
      <c r="R218" t="s">
        <v>222</v>
      </c>
      <c r="S218" t="s">
        <v>2017</v>
      </c>
      <c r="T218" t="s">
        <v>2017</v>
      </c>
    </row>
    <row r="219" spans="1:20" x14ac:dyDescent="0.3">
      <c r="A219">
        <v>15731500</v>
      </c>
      <c r="B219" t="s">
        <v>275</v>
      </c>
      <c r="C219" s="51">
        <v>46300.43472222222</v>
      </c>
      <c r="E219" t="s">
        <v>195</v>
      </c>
      <c r="F219" t="s">
        <v>196</v>
      </c>
      <c r="G219" t="s">
        <v>197</v>
      </c>
      <c r="H219" t="s">
        <v>2024</v>
      </c>
      <c r="J219" t="s">
        <v>2025</v>
      </c>
      <c r="K219" t="s">
        <v>249</v>
      </c>
      <c r="L219" t="s">
        <v>199</v>
      </c>
      <c r="O219" s="51">
        <v>46300.875694444447</v>
      </c>
      <c r="P219" t="s">
        <v>2026</v>
      </c>
      <c r="Q219" t="s">
        <v>247</v>
      </c>
      <c r="R219" t="s">
        <v>248</v>
      </c>
      <c r="S219" t="s">
        <v>543</v>
      </c>
      <c r="T219" t="s">
        <v>543</v>
      </c>
    </row>
    <row r="220" spans="1:20" x14ac:dyDescent="0.3">
      <c r="A220">
        <v>15731494</v>
      </c>
      <c r="B220" t="s">
        <v>275</v>
      </c>
      <c r="C220" s="51">
        <v>46300.43472222222</v>
      </c>
      <c r="E220" t="s">
        <v>213</v>
      </c>
      <c r="F220" t="s">
        <v>196</v>
      </c>
      <c r="G220" t="s">
        <v>197</v>
      </c>
      <c r="H220" t="s">
        <v>2027</v>
      </c>
      <c r="J220" t="s">
        <v>2028</v>
      </c>
      <c r="K220" t="s">
        <v>249</v>
      </c>
      <c r="L220" t="s">
        <v>199</v>
      </c>
      <c r="O220" s="51">
        <v>46300.875694444447</v>
      </c>
      <c r="P220" t="s">
        <v>2029</v>
      </c>
      <c r="Q220" t="s">
        <v>628</v>
      </c>
      <c r="R220" t="s">
        <v>629</v>
      </c>
      <c r="S220" t="s">
        <v>2030</v>
      </c>
      <c r="T220" t="s">
        <v>2030</v>
      </c>
    </row>
    <row r="221" spans="1:20" x14ac:dyDescent="0.3">
      <c r="A221">
        <v>15731488</v>
      </c>
      <c r="B221" t="s">
        <v>275</v>
      </c>
      <c r="C221" s="51">
        <v>46300.433333333334</v>
      </c>
      <c r="E221" t="s">
        <v>201</v>
      </c>
      <c r="F221" t="s">
        <v>196</v>
      </c>
      <c r="G221" t="s">
        <v>197</v>
      </c>
      <c r="H221" t="s">
        <v>2031</v>
      </c>
      <c r="J221" t="s">
        <v>2032</v>
      </c>
      <c r="K221" t="s">
        <v>249</v>
      </c>
      <c r="L221" t="s">
        <v>199</v>
      </c>
      <c r="O221" s="51">
        <v>46300.875694444447</v>
      </c>
      <c r="P221" t="s">
        <v>2033</v>
      </c>
      <c r="Q221" t="s">
        <v>373</v>
      </c>
      <c r="R221" t="s">
        <v>374</v>
      </c>
      <c r="S221" t="s">
        <v>2034</v>
      </c>
      <c r="T221" t="s">
        <v>2034</v>
      </c>
    </row>
    <row r="222" spans="1:20" x14ac:dyDescent="0.3">
      <c r="A222">
        <v>15731484</v>
      </c>
      <c r="B222" t="s">
        <v>275</v>
      </c>
      <c r="C222" s="51">
        <v>46300.432638888888</v>
      </c>
      <c r="E222" t="s">
        <v>205</v>
      </c>
      <c r="F222" t="s">
        <v>196</v>
      </c>
      <c r="G222" t="s">
        <v>197</v>
      </c>
      <c r="H222" t="s">
        <v>2035</v>
      </c>
      <c r="J222" t="s">
        <v>2036</v>
      </c>
      <c r="K222" t="s">
        <v>249</v>
      </c>
      <c r="L222" t="s">
        <v>199</v>
      </c>
      <c r="O222" s="51">
        <v>46300.875694444447</v>
      </c>
      <c r="P222" t="s">
        <v>2037</v>
      </c>
      <c r="Q222" t="s">
        <v>315</v>
      </c>
      <c r="R222" t="s">
        <v>316</v>
      </c>
      <c r="S222" t="s">
        <v>2038</v>
      </c>
      <c r="T222" t="s">
        <v>2038</v>
      </c>
    </row>
    <row r="223" spans="1:20" x14ac:dyDescent="0.3">
      <c r="A223">
        <v>15731280</v>
      </c>
      <c r="B223" t="s">
        <v>275</v>
      </c>
      <c r="C223" s="51">
        <v>46300.415277777778</v>
      </c>
      <c r="E223" t="s">
        <v>195</v>
      </c>
      <c r="F223" t="s">
        <v>196</v>
      </c>
      <c r="G223" t="s">
        <v>197</v>
      </c>
      <c r="H223" t="s">
        <v>2039</v>
      </c>
      <c r="J223" t="s">
        <v>2040</v>
      </c>
      <c r="K223" t="s">
        <v>198</v>
      </c>
      <c r="L223" t="s">
        <v>199</v>
      </c>
      <c r="O223" s="51">
        <v>46301.875694444447</v>
      </c>
      <c r="P223" t="s">
        <v>2041</v>
      </c>
      <c r="Q223" t="s">
        <v>384</v>
      </c>
      <c r="R223" t="s">
        <v>385</v>
      </c>
      <c r="S223" t="s">
        <v>383</v>
      </c>
      <c r="T223" t="s">
        <v>383</v>
      </c>
    </row>
    <row r="224" spans="1:20" x14ac:dyDescent="0.3">
      <c r="A224">
        <v>15731260</v>
      </c>
      <c r="B224" t="s">
        <v>275</v>
      </c>
      <c r="C224" s="51">
        <v>46300.411805555559</v>
      </c>
      <c r="E224" t="s">
        <v>195</v>
      </c>
      <c r="F224" t="s">
        <v>196</v>
      </c>
      <c r="G224" t="s">
        <v>197</v>
      </c>
      <c r="H224" t="s">
        <v>2042</v>
      </c>
      <c r="J224" t="s">
        <v>2043</v>
      </c>
      <c r="K224" t="s">
        <v>198</v>
      </c>
      <c r="L224" t="s">
        <v>199</v>
      </c>
      <c r="O224" s="51">
        <v>46301.876388888886</v>
      </c>
      <c r="P224" t="s">
        <v>2044</v>
      </c>
      <c r="Q224" t="s">
        <v>384</v>
      </c>
      <c r="R224" t="s">
        <v>385</v>
      </c>
      <c r="S224" t="s">
        <v>383</v>
      </c>
      <c r="T224" t="s">
        <v>383</v>
      </c>
    </row>
    <row r="225" spans="1:20" x14ac:dyDescent="0.3">
      <c r="A225">
        <v>15731228</v>
      </c>
      <c r="B225" t="s">
        <v>275</v>
      </c>
      <c r="C225" s="51">
        <v>46300.404166666667</v>
      </c>
      <c r="E225" t="s">
        <v>201</v>
      </c>
      <c r="F225" t="s">
        <v>196</v>
      </c>
      <c r="G225" t="s">
        <v>197</v>
      </c>
      <c r="H225" t="s">
        <v>2045</v>
      </c>
      <c r="J225" t="s">
        <v>2046</v>
      </c>
      <c r="K225" t="s">
        <v>198</v>
      </c>
      <c r="L225" t="s">
        <v>199</v>
      </c>
      <c r="O225" s="51">
        <v>46301.875694444447</v>
      </c>
      <c r="P225" t="s">
        <v>2047</v>
      </c>
      <c r="Q225" t="s">
        <v>384</v>
      </c>
      <c r="R225" t="s">
        <v>385</v>
      </c>
      <c r="S225" t="s">
        <v>383</v>
      </c>
      <c r="T225" t="s">
        <v>383</v>
      </c>
    </row>
    <row r="226" spans="1:20" x14ac:dyDescent="0.3">
      <c r="A226">
        <v>15731138</v>
      </c>
      <c r="B226" t="s">
        <v>275</v>
      </c>
      <c r="C226" s="51">
        <v>46300.39166666667</v>
      </c>
      <c r="E226" t="s">
        <v>201</v>
      </c>
      <c r="F226" t="s">
        <v>196</v>
      </c>
      <c r="G226" t="s">
        <v>197</v>
      </c>
      <c r="H226" t="s">
        <v>2048</v>
      </c>
      <c r="J226" t="s">
        <v>2049</v>
      </c>
      <c r="K226" t="s">
        <v>198</v>
      </c>
      <c r="L226" t="s">
        <v>199</v>
      </c>
      <c r="O226" s="51">
        <v>46301.875694444447</v>
      </c>
      <c r="P226" t="s">
        <v>2050</v>
      </c>
      <c r="Q226" t="s">
        <v>270</v>
      </c>
      <c r="R226" t="s">
        <v>448</v>
      </c>
      <c r="S226" t="s">
        <v>548</v>
      </c>
      <c r="T226" t="s">
        <v>548</v>
      </c>
    </row>
    <row r="227" spans="1:20" x14ac:dyDescent="0.3">
      <c r="A227">
        <v>15730624</v>
      </c>
      <c r="B227" t="s">
        <v>275</v>
      </c>
      <c r="C227" s="51">
        <v>46300.372916666667</v>
      </c>
      <c r="E227" t="s">
        <v>195</v>
      </c>
      <c r="F227" t="s">
        <v>196</v>
      </c>
      <c r="G227" t="s">
        <v>197</v>
      </c>
      <c r="H227" t="s">
        <v>2051</v>
      </c>
      <c r="J227" t="s">
        <v>2052</v>
      </c>
      <c r="K227" t="s">
        <v>198</v>
      </c>
      <c r="L227" t="s">
        <v>199</v>
      </c>
      <c r="O227" s="51">
        <v>46301.875694444447</v>
      </c>
      <c r="P227" t="s">
        <v>2053</v>
      </c>
      <c r="Q227" t="s">
        <v>2054</v>
      </c>
      <c r="R227" t="s">
        <v>627</v>
      </c>
      <c r="S227" t="s">
        <v>2055</v>
      </c>
      <c r="T227" t="s">
        <v>2055</v>
      </c>
    </row>
    <row r="228" spans="1:20" x14ac:dyDescent="0.3">
      <c r="A228">
        <v>15730610</v>
      </c>
      <c r="B228" t="s">
        <v>275</v>
      </c>
      <c r="C228" s="51">
        <v>46300.366666666669</v>
      </c>
      <c r="E228" t="s">
        <v>195</v>
      </c>
      <c r="F228" t="s">
        <v>196</v>
      </c>
      <c r="G228" t="s">
        <v>197</v>
      </c>
      <c r="H228" t="s">
        <v>2056</v>
      </c>
      <c r="J228" t="s">
        <v>2057</v>
      </c>
      <c r="K228" t="s">
        <v>198</v>
      </c>
      <c r="L228" t="s">
        <v>199</v>
      </c>
      <c r="O228" s="51">
        <v>46301.875694444447</v>
      </c>
      <c r="P228" t="s">
        <v>2058</v>
      </c>
      <c r="Q228" t="s">
        <v>2059</v>
      </c>
      <c r="R228" t="s">
        <v>2060</v>
      </c>
      <c r="S228" t="s">
        <v>2061</v>
      </c>
      <c r="T228" t="s">
        <v>2061</v>
      </c>
    </row>
    <row r="229" spans="1:20" x14ac:dyDescent="0.3">
      <c r="A229">
        <v>15730220</v>
      </c>
      <c r="B229" t="s">
        <v>275</v>
      </c>
      <c r="C229" s="51">
        <v>46300.32916666667</v>
      </c>
      <c r="E229" t="s">
        <v>201</v>
      </c>
      <c r="F229" t="s">
        <v>196</v>
      </c>
      <c r="G229" t="s">
        <v>197</v>
      </c>
      <c r="H229" t="s">
        <v>2062</v>
      </c>
      <c r="J229" t="s">
        <v>2063</v>
      </c>
      <c r="K229" t="s">
        <v>198</v>
      </c>
      <c r="L229" t="s">
        <v>199</v>
      </c>
      <c r="O229" s="51">
        <v>46303.876388888886</v>
      </c>
      <c r="P229" t="s">
        <v>2064</v>
      </c>
      <c r="Q229" t="s">
        <v>416</v>
      </c>
      <c r="R229" t="s">
        <v>417</v>
      </c>
      <c r="S229" t="s">
        <v>2065</v>
      </c>
      <c r="T229" t="s">
        <v>2065</v>
      </c>
    </row>
    <row r="230" spans="1:20" x14ac:dyDescent="0.3">
      <c r="A230">
        <v>15730216</v>
      </c>
      <c r="B230" t="s">
        <v>275</v>
      </c>
      <c r="C230" s="51">
        <v>46300.325694444444</v>
      </c>
      <c r="E230" t="s">
        <v>204</v>
      </c>
      <c r="F230" t="s">
        <v>196</v>
      </c>
      <c r="G230" t="s">
        <v>197</v>
      </c>
      <c r="H230" t="s">
        <v>2066</v>
      </c>
      <c r="J230" t="s">
        <v>2067</v>
      </c>
      <c r="K230" t="s">
        <v>198</v>
      </c>
      <c r="L230" t="s">
        <v>199</v>
      </c>
      <c r="O230" s="51">
        <v>46301.875694444447</v>
      </c>
      <c r="P230" t="s">
        <v>2068</v>
      </c>
      <c r="Q230" t="s">
        <v>416</v>
      </c>
      <c r="R230" t="s">
        <v>417</v>
      </c>
      <c r="S230" t="s">
        <v>2065</v>
      </c>
      <c r="T230" t="s">
        <v>2065</v>
      </c>
    </row>
    <row r="231" spans="1:20" x14ac:dyDescent="0.3">
      <c r="A231">
        <v>15730212</v>
      </c>
      <c r="B231" t="s">
        <v>275</v>
      </c>
      <c r="C231" s="51">
        <v>46300.323611111111</v>
      </c>
      <c r="E231" t="s">
        <v>195</v>
      </c>
      <c r="F231" t="s">
        <v>196</v>
      </c>
      <c r="G231" t="s">
        <v>197</v>
      </c>
      <c r="H231" t="s">
        <v>2069</v>
      </c>
      <c r="J231" t="s">
        <v>2070</v>
      </c>
      <c r="K231" t="s">
        <v>198</v>
      </c>
      <c r="L231" t="s">
        <v>199</v>
      </c>
      <c r="O231" s="51">
        <v>46301.876388888886</v>
      </c>
      <c r="P231" t="s">
        <v>2071</v>
      </c>
      <c r="Q231" t="s">
        <v>416</v>
      </c>
      <c r="R231" t="s">
        <v>417</v>
      </c>
      <c r="S231" t="s">
        <v>2065</v>
      </c>
      <c r="T231" t="s">
        <v>2065</v>
      </c>
    </row>
    <row r="232" spans="1:20" x14ac:dyDescent="0.3">
      <c r="A232">
        <v>15730202</v>
      </c>
      <c r="B232" t="s">
        <v>275</v>
      </c>
      <c r="C232" s="51">
        <v>46300.318055555559</v>
      </c>
      <c r="E232" t="s">
        <v>201</v>
      </c>
      <c r="F232" t="s">
        <v>196</v>
      </c>
      <c r="G232" t="s">
        <v>197</v>
      </c>
      <c r="H232" t="s">
        <v>2072</v>
      </c>
      <c r="J232" t="s">
        <v>2073</v>
      </c>
      <c r="K232" t="s">
        <v>198</v>
      </c>
      <c r="L232" t="s">
        <v>199</v>
      </c>
      <c r="O232" s="51">
        <v>46301.876388888886</v>
      </c>
      <c r="P232" t="s">
        <v>2074</v>
      </c>
      <c r="Q232" t="s">
        <v>1455</v>
      </c>
      <c r="R232" t="s">
        <v>1456</v>
      </c>
      <c r="S232" t="s">
        <v>2075</v>
      </c>
      <c r="T232" t="s">
        <v>2075</v>
      </c>
    </row>
    <row r="233" spans="1:20" x14ac:dyDescent="0.3">
      <c r="A233">
        <v>15716208</v>
      </c>
      <c r="B233" t="s">
        <v>275</v>
      </c>
      <c r="C233" s="51">
        <v>46297.791666666664</v>
      </c>
      <c r="E233" t="s">
        <v>246</v>
      </c>
      <c r="F233" t="s">
        <v>196</v>
      </c>
      <c r="G233" t="s">
        <v>197</v>
      </c>
      <c r="H233" t="s">
        <v>2076</v>
      </c>
      <c r="J233" t="s">
        <v>2077</v>
      </c>
      <c r="K233" t="s">
        <v>569</v>
      </c>
      <c r="L233" t="s">
        <v>199</v>
      </c>
      <c r="O233" s="51">
        <v>46301.875694444447</v>
      </c>
      <c r="P233" t="s">
        <v>2078</v>
      </c>
      <c r="Q233" t="s">
        <v>570</v>
      </c>
      <c r="R233" t="s">
        <v>571</v>
      </c>
      <c r="S233" t="s">
        <v>565</v>
      </c>
      <c r="T233" t="s">
        <v>565</v>
      </c>
    </row>
    <row r="234" spans="1:20" x14ac:dyDescent="0.3">
      <c r="A234">
        <v>15715770</v>
      </c>
      <c r="B234" t="s">
        <v>275</v>
      </c>
      <c r="C234" s="51">
        <v>46297.73333333333</v>
      </c>
      <c r="E234" t="s">
        <v>205</v>
      </c>
      <c r="F234" t="s">
        <v>196</v>
      </c>
      <c r="G234" t="s">
        <v>197</v>
      </c>
      <c r="H234" t="s">
        <v>2079</v>
      </c>
      <c r="J234" t="s">
        <v>2080</v>
      </c>
      <c r="K234" t="s">
        <v>249</v>
      </c>
      <c r="L234" t="s">
        <v>199</v>
      </c>
      <c r="O234" s="51">
        <v>46301.875694444447</v>
      </c>
      <c r="P234" t="s">
        <v>2081</v>
      </c>
      <c r="Q234" t="s">
        <v>551</v>
      </c>
      <c r="R234" t="s">
        <v>396</v>
      </c>
      <c r="S234" t="s">
        <v>550</v>
      </c>
      <c r="T234" t="s">
        <v>550</v>
      </c>
    </row>
    <row r="235" spans="1:20" x14ac:dyDescent="0.3">
      <c r="A235">
        <v>15715766</v>
      </c>
      <c r="B235" t="s">
        <v>255</v>
      </c>
      <c r="C235" s="51">
        <v>46297.732638888891</v>
      </c>
      <c r="E235" t="s">
        <v>201</v>
      </c>
      <c r="F235" t="s">
        <v>196</v>
      </c>
      <c r="G235" t="s">
        <v>197</v>
      </c>
      <c r="H235" t="s">
        <v>2082</v>
      </c>
      <c r="J235" t="s">
        <v>2083</v>
      </c>
      <c r="K235" t="s">
        <v>249</v>
      </c>
      <c r="L235" t="s">
        <v>199</v>
      </c>
      <c r="M235" s="51">
        <v>46304.40625</v>
      </c>
      <c r="N235" t="s">
        <v>2084</v>
      </c>
      <c r="O235" s="51">
        <v>46301.875694444447</v>
      </c>
      <c r="P235" t="s">
        <v>2085</v>
      </c>
      <c r="Q235" t="s">
        <v>218</v>
      </c>
      <c r="R235" t="s">
        <v>219</v>
      </c>
      <c r="S235" t="s">
        <v>2086</v>
      </c>
      <c r="T235" t="s">
        <v>2086</v>
      </c>
    </row>
    <row r="236" spans="1:20" x14ac:dyDescent="0.3">
      <c r="A236">
        <v>15715764</v>
      </c>
      <c r="B236" t="s">
        <v>255</v>
      </c>
      <c r="C236" s="51">
        <v>46297.731944444444</v>
      </c>
      <c r="E236" t="s">
        <v>201</v>
      </c>
      <c r="F236" t="s">
        <v>196</v>
      </c>
      <c r="G236" t="s">
        <v>197</v>
      </c>
      <c r="H236" t="s">
        <v>2087</v>
      </c>
      <c r="J236" t="s">
        <v>2088</v>
      </c>
      <c r="K236" t="s">
        <v>249</v>
      </c>
      <c r="L236" t="s">
        <v>199</v>
      </c>
      <c r="M236" s="51">
        <v>46304.40625</v>
      </c>
      <c r="N236" t="s">
        <v>2084</v>
      </c>
      <c r="O236" s="51">
        <v>46300.875694444447</v>
      </c>
      <c r="P236" t="s">
        <v>2089</v>
      </c>
      <c r="Q236" t="s">
        <v>218</v>
      </c>
      <c r="R236" t="s">
        <v>219</v>
      </c>
      <c r="S236" t="s">
        <v>2086</v>
      </c>
      <c r="T236" t="s">
        <v>2086</v>
      </c>
    </row>
    <row r="237" spans="1:20" x14ac:dyDescent="0.3">
      <c r="A237">
        <v>15715762</v>
      </c>
      <c r="B237" t="s">
        <v>255</v>
      </c>
      <c r="C237" s="51">
        <v>46297.731249999997</v>
      </c>
      <c r="E237" t="s">
        <v>201</v>
      </c>
      <c r="F237" t="s">
        <v>196</v>
      </c>
      <c r="G237" t="s">
        <v>197</v>
      </c>
      <c r="H237" t="s">
        <v>2090</v>
      </c>
      <c r="J237" t="s">
        <v>2091</v>
      </c>
      <c r="K237" t="s">
        <v>249</v>
      </c>
      <c r="L237" t="s">
        <v>199</v>
      </c>
      <c r="M237" s="51">
        <v>46304.40625</v>
      </c>
      <c r="N237" t="s">
        <v>2084</v>
      </c>
      <c r="O237" s="51">
        <v>46300.875694444447</v>
      </c>
      <c r="P237" t="s">
        <v>2092</v>
      </c>
      <c r="Q237" t="s">
        <v>218</v>
      </c>
      <c r="R237" t="s">
        <v>219</v>
      </c>
      <c r="S237" t="s">
        <v>2086</v>
      </c>
      <c r="T237" t="s">
        <v>2086</v>
      </c>
    </row>
    <row r="238" spans="1:20" x14ac:dyDescent="0.3">
      <c r="A238">
        <v>15715478</v>
      </c>
      <c r="B238" t="s">
        <v>275</v>
      </c>
      <c r="C238" s="51">
        <v>46297.731249999997</v>
      </c>
      <c r="E238" t="s">
        <v>205</v>
      </c>
      <c r="F238" t="s">
        <v>196</v>
      </c>
      <c r="G238" t="s">
        <v>197</v>
      </c>
      <c r="H238" t="s">
        <v>2093</v>
      </c>
      <c r="J238" t="s">
        <v>2094</v>
      </c>
      <c r="K238" t="s">
        <v>249</v>
      </c>
      <c r="L238" t="s">
        <v>199</v>
      </c>
      <c r="O238" s="51">
        <v>46300.875694444447</v>
      </c>
      <c r="P238" t="s">
        <v>2095</v>
      </c>
      <c r="Q238" t="s">
        <v>322</v>
      </c>
      <c r="R238" t="s">
        <v>2096</v>
      </c>
      <c r="S238" t="s">
        <v>2097</v>
      </c>
      <c r="T238" t="s">
        <v>2097</v>
      </c>
    </row>
    <row r="239" spans="1:20" x14ac:dyDescent="0.3">
      <c r="A239">
        <v>15715246</v>
      </c>
      <c r="B239" t="s">
        <v>275</v>
      </c>
      <c r="C239" s="51">
        <v>46297.730555555558</v>
      </c>
      <c r="E239" t="s">
        <v>205</v>
      </c>
      <c r="F239" t="s">
        <v>196</v>
      </c>
      <c r="G239" t="s">
        <v>197</v>
      </c>
      <c r="H239" t="s">
        <v>2098</v>
      </c>
      <c r="J239" t="s">
        <v>2099</v>
      </c>
      <c r="K239" t="s">
        <v>249</v>
      </c>
      <c r="L239" t="s">
        <v>199</v>
      </c>
      <c r="O239" s="51">
        <v>46301.875694444447</v>
      </c>
      <c r="P239" t="s">
        <v>2100</v>
      </c>
      <c r="Q239" t="s">
        <v>394</v>
      </c>
      <c r="R239" t="s">
        <v>395</v>
      </c>
      <c r="S239" t="s">
        <v>2101</v>
      </c>
      <c r="T239" t="s">
        <v>2101</v>
      </c>
    </row>
    <row r="240" spans="1:20" x14ac:dyDescent="0.3">
      <c r="A240">
        <v>15713460</v>
      </c>
      <c r="B240" t="s">
        <v>275</v>
      </c>
      <c r="C240" s="51">
        <v>46297.581250000003</v>
      </c>
      <c r="E240" t="s">
        <v>201</v>
      </c>
      <c r="F240" t="s">
        <v>196</v>
      </c>
      <c r="G240" t="s">
        <v>197</v>
      </c>
      <c r="H240" t="s">
        <v>2102</v>
      </c>
      <c r="J240" t="s">
        <v>2103</v>
      </c>
      <c r="K240" t="s">
        <v>198</v>
      </c>
      <c r="L240" t="s">
        <v>199</v>
      </c>
      <c r="O240" s="51">
        <v>46300.875694444447</v>
      </c>
      <c r="P240" t="s">
        <v>2104</v>
      </c>
      <c r="Q240" t="s">
        <v>227</v>
      </c>
      <c r="R240" t="s">
        <v>245</v>
      </c>
      <c r="S240" t="s">
        <v>2105</v>
      </c>
      <c r="T240" t="s">
        <v>2105</v>
      </c>
    </row>
    <row r="241" spans="1:20" x14ac:dyDescent="0.3">
      <c r="A241">
        <v>15713452</v>
      </c>
      <c r="B241" t="s">
        <v>275</v>
      </c>
      <c r="C241" s="51">
        <v>46297.57916666667</v>
      </c>
      <c r="E241" t="s">
        <v>201</v>
      </c>
      <c r="F241" t="s">
        <v>196</v>
      </c>
      <c r="G241" t="s">
        <v>197</v>
      </c>
      <c r="H241" t="s">
        <v>2106</v>
      </c>
      <c r="J241" t="s">
        <v>2107</v>
      </c>
      <c r="K241" t="s">
        <v>198</v>
      </c>
      <c r="L241" t="s">
        <v>199</v>
      </c>
      <c r="O241" s="51">
        <v>46300.875694444447</v>
      </c>
      <c r="P241" t="s">
        <v>2108</v>
      </c>
      <c r="Q241" t="s">
        <v>227</v>
      </c>
      <c r="R241" t="s">
        <v>245</v>
      </c>
      <c r="S241" t="s">
        <v>2105</v>
      </c>
      <c r="T241" t="s">
        <v>2105</v>
      </c>
    </row>
    <row r="242" spans="1:20" x14ac:dyDescent="0.3">
      <c r="A242">
        <v>15713444</v>
      </c>
      <c r="B242" t="s">
        <v>275</v>
      </c>
      <c r="C242" s="51">
        <v>46297.57708333333</v>
      </c>
      <c r="E242" t="s">
        <v>201</v>
      </c>
      <c r="F242" t="s">
        <v>196</v>
      </c>
      <c r="G242" t="s">
        <v>197</v>
      </c>
      <c r="H242" t="s">
        <v>2109</v>
      </c>
      <c r="J242" t="s">
        <v>2110</v>
      </c>
      <c r="K242" t="s">
        <v>198</v>
      </c>
      <c r="L242" t="s">
        <v>199</v>
      </c>
      <c r="O242" s="51">
        <v>46300.875694444447</v>
      </c>
      <c r="P242" t="s">
        <v>2111</v>
      </c>
      <c r="Q242" t="s">
        <v>227</v>
      </c>
      <c r="R242" t="s">
        <v>245</v>
      </c>
      <c r="S242" t="s">
        <v>2105</v>
      </c>
      <c r="T242" t="s">
        <v>2105</v>
      </c>
    </row>
    <row r="243" spans="1:20" x14ac:dyDescent="0.3">
      <c r="A243">
        <v>15713414</v>
      </c>
      <c r="B243" t="s">
        <v>275</v>
      </c>
      <c r="C243" s="51">
        <v>46297.568749999999</v>
      </c>
      <c r="E243" t="s">
        <v>201</v>
      </c>
      <c r="F243" t="s">
        <v>196</v>
      </c>
      <c r="G243" t="s">
        <v>197</v>
      </c>
      <c r="H243" t="s">
        <v>2112</v>
      </c>
      <c r="J243" t="s">
        <v>2113</v>
      </c>
      <c r="K243" t="s">
        <v>198</v>
      </c>
      <c r="L243" t="s">
        <v>199</v>
      </c>
      <c r="O243" s="51">
        <v>46300.875694444447</v>
      </c>
      <c r="P243" t="s">
        <v>2114</v>
      </c>
      <c r="Q243" t="s">
        <v>247</v>
      </c>
      <c r="R243" t="s">
        <v>350</v>
      </c>
      <c r="S243" t="s">
        <v>376</v>
      </c>
      <c r="T243" t="s">
        <v>376</v>
      </c>
    </row>
    <row r="244" spans="1:20" x14ac:dyDescent="0.3">
      <c r="A244">
        <v>15713400</v>
      </c>
      <c r="B244" t="s">
        <v>298</v>
      </c>
      <c r="C244" s="51">
        <v>46297.564583333333</v>
      </c>
      <c r="D244" s="51">
        <v>46301.07708333333</v>
      </c>
      <c r="E244" t="s">
        <v>208</v>
      </c>
      <c r="F244" t="s">
        <v>196</v>
      </c>
      <c r="G244" t="s">
        <v>197</v>
      </c>
      <c r="H244" t="s">
        <v>2115</v>
      </c>
      <c r="K244" t="s">
        <v>198</v>
      </c>
      <c r="L244" t="s">
        <v>209</v>
      </c>
      <c r="O244" s="51">
        <v>46300.875694444447</v>
      </c>
      <c r="P244" t="s">
        <v>2116</v>
      </c>
      <c r="Q244" t="s">
        <v>247</v>
      </c>
      <c r="R244" t="s">
        <v>350</v>
      </c>
      <c r="S244" t="s">
        <v>376</v>
      </c>
      <c r="T244" t="s">
        <v>376</v>
      </c>
    </row>
    <row r="245" spans="1:20" x14ac:dyDescent="0.3">
      <c r="A245">
        <v>15713296</v>
      </c>
      <c r="B245" t="s">
        <v>275</v>
      </c>
      <c r="C245" s="51">
        <v>46297.560416666667</v>
      </c>
      <c r="E245" t="s">
        <v>201</v>
      </c>
      <c r="F245" t="s">
        <v>196</v>
      </c>
      <c r="G245" t="s">
        <v>197</v>
      </c>
      <c r="H245" t="s">
        <v>2117</v>
      </c>
      <c r="J245" t="s">
        <v>2118</v>
      </c>
      <c r="K245" t="s">
        <v>198</v>
      </c>
      <c r="L245" t="s">
        <v>199</v>
      </c>
      <c r="O245" s="51">
        <v>46300.875694444447</v>
      </c>
      <c r="P245" t="s">
        <v>2119</v>
      </c>
      <c r="Q245" t="s">
        <v>247</v>
      </c>
      <c r="R245" t="s">
        <v>350</v>
      </c>
      <c r="S245" t="s">
        <v>376</v>
      </c>
      <c r="T245" t="s">
        <v>376</v>
      </c>
    </row>
    <row r="246" spans="1:20" x14ac:dyDescent="0.3">
      <c r="A246">
        <v>15713254</v>
      </c>
      <c r="B246" t="s">
        <v>275</v>
      </c>
      <c r="C246" s="51">
        <v>46297.552083333336</v>
      </c>
      <c r="E246" t="s">
        <v>195</v>
      </c>
      <c r="F246" t="s">
        <v>196</v>
      </c>
      <c r="G246" t="s">
        <v>197</v>
      </c>
      <c r="H246" t="s">
        <v>2120</v>
      </c>
      <c r="J246" t="s">
        <v>2121</v>
      </c>
      <c r="K246" t="s">
        <v>198</v>
      </c>
      <c r="L246" t="s">
        <v>199</v>
      </c>
      <c r="O246" s="51">
        <v>46300.875694444447</v>
      </c>
      <c r="P246" t="s">
        <v>2122</v>
      </c>
      <c r="Q246" t="s">
        <v>279</v>
      </c>
      <c r="R246" t="s">
        <v>280</v>
      </c>
      <c r="S246" t="s">
        <v>429</v>
      </c>
      <c r="T246" t="s">
        <v>429</v>
      </c>
    </row>
    <row r="247" spans="1:20" x14ac:dyDescent="0.3">
      <c r="A247">
        <v>15712466</v>
      </c>
      <c r="B247" t="s">
        <v>275</v>
      </c>
      <c r="C247" s="51">
        <v>46297.472916666666</v>
      </c>
      <c r="E247" t="s">
        <v>195</v>
      </c>
      <c r="F247" t="s">
        <v>196</v>
      </c>
      <c r="G247" t="s">
        <v>197</v>
      </c>
      <c r="H247" t="s">
        <v>2123</v>
      </c>
      <c r="J247" t="s">
        <v>2124</v>
      </c>
      <c r="K247" t="s">
        <v>198</v>
      </c>
      <c r="L247" t="s">
        <v>199</v>
      </c>
      <c r="O247" s="51">
        <v>46300.875694444447</v>
      </c>
      <c r="P247" t="s">
        <v>2125</v>
      </c>
      <c r="Q247" t="s">
        <v>369</v>
      </c>
      <c r="R247" t="s">
        <v>370</v>
      </c>
      <c r="S247" t="s">
        <v>368</v>
      </c>
      <c r="T247" t="s">
        <v>368</v>
      </c>
    </row>
    <row r="248" spans="1:20" x14ac:dyDescent="0.3">
      <c r="A248">
        <v>15711478</v>
      </c>
      <c r="B248" t="s">
        <v>275</v>
      </c>
      <c r="C248" s="51">
        <v>46297.368055555555</v>
      </c>
      <c r="E248" t="s">
        <v>195</v>
      </c>
      <c r="F248" t="s">
        <v>196</v>
      </c>
      <c r="G248" t="s">
        <v>197</v>
      </c>
      <c r="H248" t="s">
        <v>2126</v>
      </c>
      <c r="J248" t="s">
        <v>2127</v>
      </c>
      <c r="K248" t="s">
        <v>198</v>
      </c>
      <c r="L248" t="s">
        <v>199</v>
      </c>
      <c r="O248" s="51">
        <v>46300.875694444447</v>
      </c>
      <c r="P248" t="s">
        <v>2128</v>
      </c>
      <c r="Q248" t="s">
        <v>559</v>
      </c>
      <c r="R248" t="s">
        <v>560</v>
      </c>
      <c r="S248" t="s">
        <v>558</v>
      </c>
      <c r="T248" t="s">
        <v>558</v>
      </c>
    </row>
    <row r="249" spans="1:20" x14ac:dyDescent="0.3">
      <c r="A249">
        <v>15711452</v>
      </c>
      <c r="B249" t="s">
        <v>275</v>
      </c>
      <c r="C249" s="51">
        <v>46297.361805555556</v>
      </c>
      <c r="E249" t="s">
        <v>204</v>
      </c>
      <c r="F249" t="s">
        <v>196</v>
      </c>
      <c r="G249" t="s">
        <v>197</v>
      </c>
      <c r="H249" t="s">
        <v>2129</v>
      </c>
      <c r="J249" t="s">
        <v>2130</v>
      </c>
      <c r="K249" t="s">
        <v>198</v>
      </c>
      <c r="L249" t="s">
        <v>199</v>
      </c>
      <c r="O249" s="51">
        <v>46300.875694444447</v>
      </c>
      <c r="P249" t="s">
        <v>2131</v>
      </c>
      <c r="Q249" t="s">
        <v>313</v>
      </c>
      <c r="R249" t="s">
        <v>314</v>
      </c>
      <c r="S249" t="s">
        <v>616</v>
      </c>
      <c r="T249" t="s">
        <v>616</v>
      </c>
    </row>
    <row r="250" spans="1:20" x14ac:dyDescent="0.3">
      <c r="A250">
        <v>15711404</v>
      </c>
      <c r="B250" t="s">
        <v>275</v>
      </c>
      <c r="C250" s="51">
        <v>46297.356944444444</v>
      </c>
      <c r="E250" t="s">
        <v>195</v>
      </c>
      <c r="F250" t="s">
        <v>196</v>
      </c>
      <c r="G250" t="s">
        <v>197</v>
      </c>
      <c r="H250" t="s">
        <v>2132</v>
      </c>
      <c r="J250" t="s">
        <v>2133</v>
      </c>
      <c r="K250" t="s">
        <v>198</v>
      </c>
      <c r="L250" t="s">
        <v>199</v>
      </c>
      <c r="O250" s="51">
        <v>46300.875694444447</v>
      </c>
      <c r="P250" t="s">
        <v>2134</v>
      </c>
      <c r="Q250" t="s">
        <v>324</v>
      </c>
      <c r="R250" t="s">
        <v>325</v>
      </c>
      <c r="S250" t="s">
        <v>323</v>
      </c>
      <c r="T250" t="s">
        <v>323</v>
      </c>
    </row>
    <row r="251" spans="1:20" x14ac:dyDescent="0.3">
      <c r="A251">
        <v>15711276</v>
      </c>
      <c r="B251" t="s">
        <v>275</v>
      </c>
      <c r="C251" s="51">
        <v>46297.354166666664</v>
      </c>
      <c r="E251" t="s">
        <v>204</v>
      </c>
      <c r="F251" t="s">
        <v>196</v>
      </c>
      <c r="G251" t="s">
        <v>197</v>
      </c>
      <c r="H251" t="s">
        <v>2135</v>
      </c>
      <c r="J251" t="s">
        <v>2136</v>
      </c>
      <c r="K251" t="s">
        <v>198</v>
      </c>
      <c r="L251" t="s">
        <v>199</v>
      </c>
      <c r="O251" s="51">
        <v>46300.876388888886</v>
      </c>
      <c r="P251" t="s">
        <v>2137</v>
      </c>
      <c r="Q251" t="s">
        <v>2138</v>
      </c>
      <c r="R251" t="s">
        <v>2139</v>
      </c>
      <c r="S251" t="s">
        <v>2140</v>
      </c>
      <c r="T251" t="s">
        <v>2140</v>
      </c>
    </row>
    <row r="252" spans="1:20" x14ac:dyDescent="0.3">
      <c r="A252">
        <v>15711248</v>
      </c>
      <c r="B252" t="s">
        <v>275</v>
      </c>
      <c r="C252" s="51">
        <v>46297.347916666666</v>
      </c>
      <c r="E252" t="s">
        <v>195</v>
      </c>
      <c r="F252" t="s">
        <v>196</v>
      </c>
      <c r="G252" t="s">
        <v>197</v>
      </c>
      <c r="H252" t="s">
        <v>2141</v>
      </c>
      <c r="J252" t="s">
        <v>2142</v>
      </c>
      <c r="K252" t="s">
        <v>198</v>
      </c>
      <c r="L252" t="s">
        <v>199</v>
      </c>
      <c r="O252" s="51">
        <v>46300.876388888886</v>
      </c>
      <c r="P252" t="s">
        <v>2143</v>
      </c>
      <c r="Q252" t="s">
        <v>236</v>
      </c>
      <c r="R252" t="s">
        <v>237</v>
      </c>
      <c r="S252" t="s">
        <v>2144</v>
      </c>
      <c r="T252" t="s">
        <v>2144</v>
      </c>
    </row>
    <row r="253" spans="1:20" x14ac:dyDescent="0.3">
      <c r="A253">
        <v>15711224</v>
      </c>
      <c r="B253" t="s">
        <v>275</v>
      </c>
      <c r="C253" s="51">
        <v>46297.341666666667</v>
      </c>
      <c r="E253" t="s">
        <v>204</v>
      </c>
      <c r="F253" t="s">
        <v>196</v>
      </c>
      <c r="G253" t="s">
        <v>197</v>
      </c>
      <c r="H253" t="s">
        <v>2145</v>
      </c>
      <c r="J253" t="s">
        <v>2146</v>
      </c>
      <c r="K253" t="s">
        <v>198</v>
      </c>
      <c r="L253" t="s">
        <v>199</v>
      </c>
      <c r="O253" s="51">
        <v>46300.875694444447</v>
      </c>
      <c r="P253" t="s">
        <v>2147</v>
      </c>
      <c r="Q253" t="s">
        <v>225</v>
      </c>
      <c r="R253" t="s">
        <v>226</v>
      </c>
      <c r="S253" t="s">
        <v>2148</v>
      </c>
      <c r="T253" t="s">
        <v>2148</v>
      </c>
    </row>
    <row r="254" spans="1:20" x14ac:dyDescent="0.3">
      <c r="A254">
        <v>15711202</v>
      </c>
      <c r="B254" t="s">
        <v>255</v>
      </c>
      <c r="C254" s="51">
        <v>46297.338194444441</v>
      </c>
      <c r="E254" t="s">
        <v>195</v>
      </c>
      <c r="F254" t="s">
        <v>196</v>
      </c>
      <c r="G254" t="s">
        <v>197</v>
      </c>
      <c r="H254" t="s">
        <v>2149</v>
      </c>
      <c r="J254" t="s">
        <v>2150</v>
      </c>
      <c r="K254" t="s">
        <v>198</v>
      </c>
      <c r="L254" t="s">
        <v>199</v>
      </c>
      <c r="M254" s="51">
        <v>46304.416666666664</v>
      </c>
      <c r="N254" t="s">
        <v>568</v>
      </c>
      <c r="O254" s="51">
        <v>46300.875694444447</v>
      </c>
      <c r="P254" t="s">
        <v>2151</v>
      </c>
      <c r="Q254" t="s">
        <v>342</v>
      </c>
      <c r="R254" t="s">
        <v>343</v>
      </c>
      <c r="S254" t="s">
        <v>341</v>
      </c>
      <c r="T254" t="s">
        <v>341</v>
      </c>
    </row>
    <row r="255" spans="1:20" x14ac:dyDescent="0.3">
      <c r="A255">
        <v>15711046</v>
      </c>
      <c r="B255" t="s">
        <v>275</v>
      </c>
      <c r="C255" s="51">
        <v>46297.333333333336</v>
      </c>
      <c r="E255" t="s">
        <v>195</v>
      </c>
      <c r="F255" t="s">
        <v>196</v>
      </c>
      <c r="G255" t="s">
        <v>197</v>
      </c>
      <c r="H255" t="s">
        <v>2152</v>
      </c>
      <c r="J255" t="s">
        <v>2153</v>
      </c>
      <c r="K255" t="s">
        <v>198</v>
      </c>
      <c r="L255" t="s">
        <v>199</v>
      </c>
      <c r="O255" s="51">
        <v>46300.876388888886</v>
      </c>
      <c r="P255" t="s">
        <v>2154</v>
      </c>
      <c r="Q255" t="s">
        <v>238</v>
      </c>
      <c r="R255" t="s">
        <v>239</v>
      </c>
      <c r="S255" t="s">
        <v>2155</v>
      </c>
      <c r="T255" t="s">
        <v>2155</v>
      </c>
    </row>
    <row r="256" spans="1:20" x14ac:dyDescent="0.3">
      <c r="A256">
        <v>15711026</v>
      </c>
      <c r="B256" t="s">
        <v>255</v>
      </c>
      <c r="C256" s="51">
        <v>46297.324305555558</v>
      </c>
      <c r="E256" t="s">
        <v>204</v>
      </c>
      <c r="F256" t="s">
        <v>196</v>
      </c>
      <c r="G256" t="s">
        <v>197</v>
      </c>
      <c r="H256" t="s">
        <v>2156</v>
      </c>
      <c r="J256" t="s">
        <v>2157</v>
      </c>
      <c r="K256" t="s">
        <v>198</v>
      </c>
      <c r="L256" t="s">
        <v>199</v>
      </c>
      <c r="M256" s="51">
        <v>46307.365277777775</v>
      </c>
      <c r="N256" t="s">
        <v>2157</v>
      </c>
      <c r="O256" s="51">
        <v>46300.876388888886</v>
      </c>
      <c r="P256" t="s">
        <v>2158</v>
      </c>
      <c r="Q256" t="s">
        <v>270</v>
      </c>
      <c r="R256" t="s">
        <v>271</v>
      </c>
      <c r="S256" t="s">
        <v>556</v>
      </c>
      <c r="T256" t="s">
        <v>556</v>
      </c>
    </row>
    <row r="257" spans="1:20" x14ac:dyDescent="0.3">
      <c r="A257">
        <v>15711012</v>
      </c>
      <c r="B257" t="s">
        <v>275</v>
      </c>
      <c r="C257" s="51">
        <v>46297.320138888892</v>
      </c>
      <c r="E257" t="s">
        <v>204</v>
      </c>
      <c r="F257" t="s">
        <v>196</v>
      </c>
      <c r="G257" t="s">
        <v>197</v>
      </c>
      <c r="H257" t="s">
        <v>2159</v>
      </c>
      <c r="J257" t="s">
        <v>2160</v>
      </c>
      <c r="K257" t="s">
        <v>198</v>
      </c>
      <c r="L257" t="s">
        <v>199</v>
      </c>
      <c r="O257" s="51">
        <v>46300.876388888886</v>
      </c>
      <c r="P257" t="s">
        <v>2161</v>
      </c>
      <c r="Q257" t="s">
        <v>355</v>
      </c>
      <c r="R257" t="s">
        <v>356</v>
      </c>
      <c r="S257" t="s">
        <v>609</v>
      </c>
      <c r="T257" t="s">
        <v>609</v>
      </c>
    </row>
    <row r="258" spans="1:20" x14ac:dyDescent="0.3">
      <c r="A258">
        <v>15710996</v>
      </c>
      <c r="B258" t="s">
        <v>275</v>
      </c>
      <c r="C258" s="51">
        <v>46297.316666666666</v>
      </c>
      <c r="E258" t="s">
        <v>204</v>
      </c>
      <c r="F258" t="s">
        <v>196</v>
      </c>
      <c r="G258" t="s">
        <v>197</v>
      </c>
      <c r="H258" t="s">
        <v>2162</v>
      </c>
      <c r="J258" t="s">
        <v>2163</v>
      </c>
      <c r="K258" t="s">
        <v>198</v>
      </c>
      <c r="L258" t="s">
        <v>199</v>
      </c>
      <c r="O258" s="51">
        <v>46300.875694444447</v>
      </c>
      <c r="P258" t="s">
        <v>2164</v>
      </c>
      <c r="Q258" t="s">
        <v>355</v>
      </c>
      <c r="R258" t="s">
        <v>356</v>
      </c>
      <c r="S258" t="s">
        <v>609</v>
      </c>
      <c r="T258" t="s">
        <v>609</v>
      </c>
    </row>
    <row r="259" spans="1:20" x14ac:dyDescent="0.3">
      <c r="A259">
        <v>15710818</v>
      </c>
      <c r="B259" t="s">
        <v>298</v>
      </c>
      <c r="C259" s="51">
        <v>46297.311111111114</v>
      </c>
      <c r="D259" s="51">
        <v>46301.07708333333</v>
      </c>
      <c r="E259" t="s">
        <v>208</v>
      </c>
      <c r="F259" t="s">
        <v>196</v>
      </c>
      <c r="G259" t="s">
        <v>197</v>
      </c>
      <c r="H259" t="s">
        <v>2165</v>
      </c>
      <c r="K259" t="s">
        <v>198</v>
      </c>
      <c r="L259" t="s">
        <v>209</v>
      </c>
      <c r="O259" s="51">
        <v>46300.876388888886</v>
      </c>
      <c r="P259" t="s">
        <v>2166</v>
      </c>
      <c r="Q259" t="s">
        <v>1640</v>
      </c>
      <c r="R259" t="s">
        <v>212</v>
      </c>
      <c r="S259" t="s">
        <v>2167</v>
      </c>
      <c r="T259" t="s">
        <v>2167</v>
      </c>
    </row>
    <row r="260" spans="1:20" x14ac:dyDescent="0.3">
      <c r="A260">
        <v>15710806</v>
      </c>
      <c r="B260" t="s">
        <v>275</v>
      </c>
      <c r="C260" s="51">
        <v>46297.306944444441</v>
      </c>
      <c r="E260" t="s">
        <v>201</v>
      </c>
      <c r="F260" t="s">
        <v>196</v>
      </c>
      <c r="G260" t="s">
        <v>197</v>
      </c>
      <c r="H260" t="s">
        <v>2168</v>
      </c>
      <c r="J260" t="s">
        <v>2169</v>
      </c>
      <c r="K260" t="s">
        <v>198</v>
      </c>
      <c r="L260" t="s">
        <v>199</v>
      </c>
      <c r="O260" s="51">
        <v>46300.876388888886</v>
      </c>
      <c r="P260" t="s">
        <v>2170</v>
      </c>
      <c r="Q260" t="s">
        <v>440</v>
      </c>
      <c r="R260" t="s">
        <v>281</v>
      </c>
      <c r="S260" t="s">
        <v>620</v>
      </c>
      <c r="T260" t="s">
        <v>620</v>
      </c>
    </row>
    <row r="261" spans="1:20" x14ac:dyDescent="0.3">
      <c r="A261">
        <v>15710800</v>
      </c>
      <c r="B261" t="s">
        <v>275</v>
      </c>
      <c r="C261" s="51">
        <v>46297.304166666669</v>
      </c>
      <c r="E261" t="s">
        <v>213</v>
      </c>
      <c r="F261" t="s">
        <v>196</v>
      </c>
      <c r="G261" t="s">
        <v>197</v>
      </c>
      <c r="H261" t="s">
        <v>2171</v>
      </c>
      <c r="J261" t="s">
        <v>2172</v>
      </c>
      <c r="K261" t="s">
        <v>198</v>
      </c>
      <c r="L261" t="s">
        <v>199</v>
      </c>
      <c r="O261" s="51">
        <v>46300.875694444447</v>
      </c>
      <c r="P261" t="s">
        <v>2173</v>
      </c>
      <c r="Q261" t="s">
        <v>286</v>
      </c>
      <c r="R261" t="s">
        <v>287</v>
      </c>
      <c r="S261" t="s">
        <v>285</v>
      </c>
      <c r="T261" t="s">
        <v>285</v>
      </c>
    </row>
    <row r="262" spans="1:20" x14ac:dyDescent="0.3">
      <c r="A262">
        <v>15706636</v>
      </c>
      <c r="B262" t="s">
        <v>255</v>
      </c>
      <c r="C262" s="51">
        <v>46296.697222222225</v>
      </c>
      <c r="E262" t="s">
        <v>256</v>
      </c>
      <c r="F262" t="s">
        <v>196</v>
      </c>
      <c r="G262" t="s">
        <v>197</v>
      </c>
      <c r="H262" t="s">
        <v>2174</v>
      </c>
      <c r="K262" t="s">
        <v>257</v>
      </c>
      <c r="L262" t="s">
        <v>258</v>
      </c>
      <c r="M262" s="51">
        <v>46297.552083333336</v>
      </c>
      <c r="N262" t="s">
        <v>307</v>
      </c>
      <c r="S262" t="s">
        <v>306</v>
      </c>
    </row>
    <row r="263" spans="1:20" x14ac:dyDescent="0.3">
      <c r="A263">
        <v>15706632</v>
      </c>
      <c r="B263" t="s">
        <v>255</v>
      </c>
      <c r="C263" s="51">
        <v>46296.696527777778</v>
      </c>
      <c r="E263" t="s">
        <v>256</v>
      </c>
      <c r="F263" t="s">
        <v>196</v>
      </c>
      <c r="G263" t="s">
        <v>197</v>
      </c>
      <c r="H263" t="s">
        <v>2175</v>
      </c>
      <c r="K263" t="s">
        <v>257</v>
      </c>
      <c r="L263" t="s">
        <v>258</v>
      </c>
      <c r="M263" s="51">
        <v>46297.552083333336</v>
      </c>
      <c r="N263" t="s">
        <v>590</v>
      </c>
      <c r="S263" t="s">
        <v>438</v>
      </c>
    </row>
    <row r="264" spans="1:20" x14ac:dyDescent="0.3">
      <c r="A264">
        <v>15706630</v>
      </c>
      <c r="B264" t="s">
        <v>255</v>
      </c>
      <c r="C264" s="51">
        <v>46296.695138888892</v>
      </c>
      <c r="E264" t="s">
        <v>337</v>
      </c>
      <c r="F264" t="s">
        <v>196</v>
      </c>
      <c r="G264" t="s">
        <v>197</v>
      </c>
      <c r="H264" t="s">
        <v>2176</v>
      </c>
      <c r="K264" t="s">
        <v>257</v>
      </c>
      <c r="L264" t="s">
        <v>258</v>
      </c>
      <c r="M264" s="51">
        <v>46297.552083333336</v>
      </c>
      <c r="N264" t="s">
        <v>2177</v>
      </c>
      <c r="S264" t="s">
        <v>2178</v>
      </c>
    </row>
    <row r="265" spans="1:20" x14ac:dyDescent="0.3">
      <c r="A265">
        <v>15706628</v>
      </c>
      <c r="B265" t="s">
        <v>255</v>
      </c>
      <c r="C265" s="51">
        <v>46296.695138888892</v>
      </c>
      <c r="E265" t="s">
        <v>337</v>
      </c>
      <c r="F265" t="s">
        <v>196</v>
      </c>
      <c r="G265" t="s">
        <v>197</v>
      </c>
      <c r="H265" t="s">
        <v>2179</v>
      </c>
      <c r="K265" t="s">
        <v>257</v>
      </c>
      <c r="L265" t="s">
        <v>258</v>
      </c>
      <c r="M265" s="51">
        <v>46297.552083333336</v>
      </c>
      <c r="N265" t="s">
        <v>2177</v>
      </c>
      <c r="S265" t="s">
        <v>2178</v>
      </c>
    </row>
    <row r="266" spans="1:20" x14ac:dyDescent="0.3">
      <c r="A266">
        <v>15706626</v>
      </c>
      <c r="B266" t="s">
        <v>255</v>
      </c>
      <c r="C266" s="51">
        <v>46296.694444444445</v>
      </c>
      <c r="E266" t="s">
        <v>337</v>
      </c>
      <c r="F266" t="s">
        <v>196</v>
      </c>
      <c r="G266" t="s">
        <v>197</v>
      </c>
      <c r="H266" t="s">
        <v>2180</v>
      </c>
      <c r="K266" t="s">
        <v>257</v>
      </c>
      <c r="L266" t="s">
        <v>258</v>
      </c>
      <c r="M266" s="51">
        <v>46297.552083333336</v>
      </c>
      <c r="N266" t="s">
        <v>2181</v>
      </c>
      <c r="S266" t="s">
        <v>2182</v>
      </c>
    </row>
    <row r="267" spans="1:20" x14ac:dyDescent="0.3">
      <c r="A267">
        <v>15706622</v>
      </c>
      <c r="B267" t="s">
        <v>255</v>
      </c>
      <c r="C267" s="51">
        <v>46296.694444444445</v>
      </c>
      <c r="E267" t="s">
        <v>1507</v>
      </c>
      <c r="F267" t="s">
        <v>196</v>
      </c>
      <c r="G267" t="s">
        <v>197</v>
      </c>
      <c r="H267" t="s">
        <v>2183</v>
      </c>
      <c r="K267" t="s">
        <v>257</v>
      </c>
      <c r="L267" t="s">
        <v>258</v>
      </c>
      <c r="M267" s="51">
        <v>46297.552083333336</v>
      </c>
      <c r="N267" t="s">
        <v>307</v>
      </c>
      <c r="S267" t="s">
        <v>464</v>
      </c>
    </row>
    <row r="268" spans="1:20" x14ac:dyDescent="0.3">
      <c r="A268">
        <v>15706600</v>
      </c>
      <c r="B268" t="s">
        <v>194</v>
      </c>
      <c r="C268" s="51">
        <v>46296.690972222219</v>
      </c>
      <c r="E268" t="s">
        <v>1507</v>
      </c>
      <c r="F268" t="s">
        <v>196</v>
      </c>
      <c r="G268" t="s">
        <v>197</v>
      </c>
      <c r="H268" t="s">
        <v>625</v>
      </c>
      <c r="J268" t="s">
        <v>2184</v>
      </c>
      <c r="K268" t="s">
        <v>257</v>
      </c>
      <c r="L268" t="s">
        <v>258</v>
      </c>
      <c r="S268" t="s">
        <v>400</v>
      </c>
    </row>
    <row r="269" spans="1:20" x14ac:dyDescent="0.3">
      <c r="A269">
        <v>15706598</v>
      </c>
      <c r="B269" t="s">
        <v>194</v>
      </c>
      <c r="C269" s="51">
        <v>46296.690972222219</v>
      </c>
      <c r="E269" t="s">
        <v>1507</v>
      </c>
      <c r="F269" t="s">
        <v>196</v>
      </c>
      <c r="G269" t="s">
        <v>197</v>
      </c>
      <c r="H269" t="s">
        <v>599</v>
      </c>
      <c r="K269" t="s">
        <v>257</v>
      </c>
      <c r="L269" t="s">
        <v>258</v>
      </c>
      <c r="S269" t="s">
        <v>400</v>
      </c>
    </row>
    <row r="270" spans="1:20" x14ac:dyDescent="0.3">
      <c r="A270">
        <v>15706594</v>
      </c>
      <c r="B270" t="s">
        <v>1414</v>
      </c>
      <c r="C270" s="51">
        <v>46296.689583333333</v>
      </c>
      <c r="E270" t="s">
        <v>2185</v>
      </c>
      <c r="F270" t="s">
        <v>196</v>
      </c>
      <c r="G270" t="s">
        <v>197</v>
      </c>
      <c r="H270" t="s">
        <v>2186</v>
      </c>
      <c r="K270" t="s">
        <v>1417</v>
      </c>
      <c r="L270" t="s">
        <v>2187</v>
      </c>
    </row>
    <row r="271" spans="1:20" x14ac:dyDescent="0.3">
      <c r="A271">
        <v>15705642</v>
      </c>
      <c r="B271" t="s">
        <v>275</v>
      </c>
      <c r="C271" s="51">
        <v>46296.620138888888</v>
      </c>
      <c r="E271" t="s">
        <v>204</v>
      </c>
      <c r="F271" t="s">
        <v>196</v>
      </c>
      <c r="G271" t="s">
        <v>197</v>
      </c>
      <c r="H271" t="s">
        <v>2188</v>
      </c>
      <c r="J271" t="s">
        <v>2189</v>
      </c>
      <c r="K271" t="s">
        <v>198</v>
      </c>
      <c r="L271" t="s">
        <v>199</v>
      </c>
      <c r="O271" s="51">
        <v>46300.876388888886</v>
      </c>
      <c r="P271" t="s">
        <v>2190</v>
      </c>
      <c r="Q271" t="s">
        <v>236</v>
      </c>
      <c r="R271" t="s">
        <v>237</v>
      </c>
      <c r="S271" t="s">
        <v>621</v>
      </c>
      <c r="T271" t="s">
        <v>621</v>
      </c>
    </row>
    <row r="272" spans="1:20" x14ac:dyDescent="0.3">
      <c r="A272">
        <v>15705640</v>
      </c>
      <c r="B272" t="s">
        <v>275</v>
      </c>
      <c r="C272" s="51">
        <v>46296.618055555555</v>
      </c>
      <c r="E272" t="s">
        <v>201</v>
      </c>
      <c r="F272" t="s">
        <v>196</v>
      </c>
      <c r="G272" t="s">
        <v>197</v>
      </c>
      <c r="H272" t="s">
        <v>2191</v>
      </c>
      <c r="J272" t="s">
        <v>2192</v>
      </c>
      <c r="K272" t="s">
        <v>198</v>
      </c>
      <c r="L272" t="s">
        <v>199</v>
      </c>
      <c r="O272" s="51">
        <v>46300.875694444447</v>
      </c>
      <c r="P272" t="s">
        <v>2193</v>
      </c>
      <c r="Q272" t="s">
        <v>236</v>
      </c>
      <c r="R272" t="s">
        <v>237</v>
      </c>
      <c r="S272" t="s">
        <v>621</v>
      </c>
      <c r="T272" t="s">
        <v>621</v>
      </c>
    </row>
    <row r="273" spans="1:20" x14ac:dyDescent="0.3">
      <c r="A273">
        <v>15705632</v>
      </c>
      <c r="B273" t="s">
        <v>275</v>
      </c>
      <c r="C273" s="51">
        <v>46296.615277777775</v>
      </c>
      <c r="E273" t="s">
        <v>204</v>
      </c>
      <c r="F273" t="s">
        <v>196</v>
      </c>
      <c r="G273" t="s">
        <v>197</v>
      </c>
      <c r="H273" t="s">
        <v>2194</v>
      </c>
      <c r="J273" t="s">
        <v>2195</v>
      </c>
      <c r="K273" t="s">
        <v>198</v>
      </c>
      <c r="L273" t="s">
        <v>199</v>
      </c>
      <c r="O273" s="51">
        <v>46300.876388888886</v>
      </c>
      <c r="P273" t="s">
        <v>2196</v>
      </c>
      <c r="Q273" t="s">
        <v>236</v>
      </c>
      <c r="R273" t="s">
        <v>237</v>
      </c>
      <c r="S273" t="s">
        <v>621</v>
      </c>
      <c r="T273" t="s">
        <v>621</v>
      </c>
    </row>
    <row r="274" spans="1:20" x14ac:dyDescent="0.3">
      <c r="A274">
        <v>15705550</v>
      </c>
      <c r="B274" t="s">
        <v>275</v>
      </c>
      <c r="C274" s="51">
        <v>46296.6</v>
      </c>
      <c r="E274" t="s">
        <v>205</v>
      </c>
      <c r="F274" t="s">
        <v>196</v>
      </c>
      <c r="G274" t="s">
        <v>197</v>
      </c>
      <c r="H274" t="s">
        <v>2197</v>
      </c>
      <c r="J274" t="s">
        <v>2198</v>
      </c>
      <c r="K274" t="s">
        <v>198</v>
      </c>
      <c r="L274" t="s">
        <v>199</v>
      </c>
      <c r="O274" s="51">
        <v>46297.875694444447</v>
      </c>
      <c r="P274" t="s">
        <v>2199</v>
      </c>
      <c r="Q274" t="s">
        <v>391</v>
      </c>
      <c r="R274" t="s">
        <v>392</v>
      </c>
      <c r="S274" t="s">
        <v>564</v>
      </c>
      <c r="T274" t="s">
        <v>564</v>
      </c>
    </row>
    <row r="275" spans="1:20" x14ac:dyDescent="0.3">
      <c r="A275">
        <v>15705234</v>
      </c>
      <c r="B275" t="s">
        <v>275</v>
      </c>
      <c r="C275" s="51">
        <v>46296.595138888886</v>
      </c>
      <c r="E275" t="s">
        <v>205</v>
      </c>
      <c r="F275" t="s">
        <v>196</v>
      </c>
      <c r="G275" t="s">
        <v>197</v>
      </c>
      <c r="H275" t="s">
        <v>2200</v>
      </c>
      <c r="J275" t="s">
        <v>2201</v>
      </c>
      <c r="K275" t="s">
        <v>198</v>
      </c>
      <c r="L275" t="s">
        <v>199</v>
      </c>
      <c r="O275" s="51">
        <v>46297.876388888886</v>
      </c>
      <c r="P275" t="s">
        <v>2202</v>
      </c>
      <c r="Q275" t="s">
        <v>391</v>
      </c>
      <c r="R275" t="s">
        <v>392</v>
      </c>
      <c r="S275" t="s">
        <v>564</v>
      </c>
      <c r="T275" t="s">
        <v>564</v>
      </c>
    </row>
    <row r="276" spans="1:20" x14ac:dyDescent="0.3">
      <c r="A276">
        <v>15705076</v>
      </c>
      <c r="B276" t="s">
        <v>255</v>
      </c>
      <c r="C276" s="51">
        <v>46296.576388888891</v>
      </c>
      <c r="E276" t="s">
        <v>195</v>
      </c>
      <c r="F276" t="s">
        <v>196</v>
      </c>
      <c r="G276" t="s">
        <v>197</v>
      </c>
      <c r="H276" t="s">
        <v>2203</v>
      </c>
      <c r="J276" t="s">
        <v>2204</v>
      </c>
      <c r="K276" t="s">
        <v>198</v>
      </c>
      <c r="L276" t="s">
        <v>199</v>
      </c>
      <c r="M276" s="51">
        <v>46307.365277777775</v>
      </c>
      <c r="N276" t="s">
        <v>2204</v>
      </c>
      <c r="O276" s="51">
        <v>46297.875694444447</v>
      </c>
      <c r="P276" t="s">
        <v>2205</v>
      </c>
      <c r="Q276" t="s">
        <v>430</v>
      </c>
      <c r="R276" t="s">
        <v>431</v>
      </c>
      <c r="S276" t="s">
        <v>2206</v>
      </c>
      <c r="T276" t="s">
        <v>2206</v>
      </c>
    </row>
    <row r="277" spans="1:20" x14ac:dyDescent="0.3">
      <c r="A277">
        <v>15705044</v>
      </c>
      <c r="B277" t="s">
        <v>275</v>
      </c>
      <c r="C277" s="51">
        <v>46296.571527777778</v>
      </c>
      <c r="E277" t="s">
        <v>205</v>
      </c>
      <c r="F277" t="s">
        <v>196</v>
      </c>
      <c r="G277" t="s">
        <v>197</v>
      </c>
      <c r="H277" t="s">
        <v>2207</v>
      </c>
      <c r="J277" t="s">
        <v>2208</v>
      </c>
      <c r="K277" t="s">
        <v>198</v>
      </c>
      <c r="L277" t="s">
        <v>199</v>
      </c>
      <c r="O277" s="51">
        <v>46297.876388888886</v>
      </c>
      <c r="P277" t="s">
        <v>2209</v>
      </c>
      <c r="Q277" t="s">
        <v>354</v>
      </c>
      <c r="R277" t="s">
        <v>461</v>
      </c>
      <c r="S277" t="s">
        <v>2210</v>
      </c>
      <c r="T277" t="s">
        <v>2210</v>
      </c>
    </row>
    <row r="278" spans="1:20" x14ac:dyDescent="0.3">
      <c r="A278">
        <v>15704832</v>
      </c>
      <c r="B278" t="s">
        <v>275</v>
      </c>
      <c r="C278" s="51">
        <v>46296.55972222222</v>
      </c>
      <c r="E278" t="s">
        <v>195</v>
      </c>
      <c r="F278" t="s">
        <v>196</v>
      </c>
      <c r="G278" t="s">
        <v>197</v>
      </c>
      <c r="H278" t="s">
        <v>2211</v>
      </c>
      <c r="J278" t="s">
        <v>2212</v>
      </c>
      <c r="K278" t="s">
        <v>198</v>
      </c>
      <c r="L278" t="s">
        <v>199</v>
      </c>
      <c r="O278" s="51">
        <v>46297.875694444447</v>
      </c>
      <c r="P278" t="s">
        <v>2213</v>
      </c>
      <c r="Q278" t="s">
        <v>2214</v>
      </c>
      <c r="R278" t="s">
        <v>2215</v>
      </c>
      <c r="S278" t="s">
        <v>2216</v>
      </c>
      <c r="T278" t="s">
        <v>2216</v>
      </c>
    </row>
    <row r="279" spans="1:20" x14ac:dyDescent="0.3">
      <c r="A279">
        <v>15704814</v>
      </c>
      <c r="B279" t="s">
        <v>275</v>
      </c>
      <c r="C279" s="51">
        <v>46296.55</v>
      </c>
      <c r="E279" t="s">
        <v>195</v>
      </c>
      <c r="F279" t="s">
        <v>196</v>
      </c>
      <c r="G279" t="s">
        <v>197</v>
      </c>
      <c r="H279" t="s">
        <v>2217</v>
      </c>
      <c r="J279" t="s">
        <v>2218</v>
      </c>
      <c r="K279" t="s">
        <v>198</v>
      </c>
      <c r="L279" t="s">
        <v>199</v>
      </c>
      <c r="O279" s="51">
        <v>46297.875694444447</v>
      </c>
      <c r="P279" t="s">
        <v>2219</v>
      </c>
      <c r="Q279" t="s">
        <v>252</v>
      </c>
      <c r="R279" t="s">
        <v>260</v>
      </c>
      <c r="S279" t="s">
        <v>2220</v>
      </c>
      <c r="T279" t="s">
        <v>2220</v>
      </c>
    </row>
    <row r="280" spans="1:20" x14ac:dyDescent="0.3">
      <c r="A280">
        <v>15704486</v>
      </c>
      <c r="B280" t="s">
        <v>275</v>
      </c>
      <c r="C280" s="51">
        <v>46296.515972222223</v>
      </c>
      <c r="E280" t="s">
        <v>213</v>
      </c>
      <c r="F280" t="s">
        <v>196</v>
      </c>
      <c r="G280" t="s">
        <v>197</v>
      </c>
      <c r="H280" t="s">
        <v>2221</v>
      </c>
      <c r="J280" t="s">
        <v>2222</v>
      </c>
      <c r="K280" t="s">
        <v>198</v>
      </c>
      <c r="L280" t="s">
        <v>199</v>
      </c>
      <c r="O280" s="51">
        <v>46297.875694444447</v>
      </c>
      <c r="P280" t="s">
        <v>2223</v>
      </c>
      <c r="Q280" t="s">
        <v>268</v>
      </c>
      <c r="R280" t="s">
        <v>269</v>
      </c>
      <c r="S280" t="s">
        <v>267</v>
      </c>
      <c r="T280" t="s">
        <v>267</v>
      </c>
    </row>
    <row r="281" spans="1:20" x14ac:dyDescent="0.3">
      <c r="A281">
        <v>15704458</v>
      </c>
      <c r="B281" t="s">
        <v>275</v>
      </c>
      <c r="C281" s="51">
        <v>46296.51458333333</v>
      </c>
      <c r="E281" t="s">
        <v>195</v>
      </c>
      <c r="F281" t="s">
        <v>196</v>
      </c>
      <c r="G281" t="s">
        <v>197</v>
      </c>
      <c r="H281" t="s">
        <v>2224</v>
      </c>
      <c r="J281" t="s">
        <v>2225</v>
      </c>
      <c r="K281" t="s">
        <v>198</v>
      </c>
      <c r="L281" t="s">
        <v>199</v>
      </c>
      <c r="O281" s="51">
        <v>46297.876388888886</v>
      </c>
      <c r="P281" t="s">
        <v>2226</v>
      </c>
      <c r="Q281" t="s">
        <v>315</v>
      </c>
      <c r="R281" t="s">
        <v>316</v>
      </c>
      <c r="S281" t="s">
        <v>2227</v>
      </c>
      <c r="T281" t="s">
        <v>2227</v>
      </c>
    </row>
    <row r="282" spans="1:20" x14ac:dyDescent="0.3">
      <c r="A282">
        <v>15704252</v>
      </c>
      <c r="B282" t="s">
        <v>275</v>
      </c>
      <c r="C282" s="51">
        <v>46296.495138888888</v>
      </c>
      <c r="E282" t="s">
        <v>201</v>
      </c>
      <c r="F282" t="s">
        <v>196</v>
      </c>
      <c r="G282" t="s">
        <v>197</v>
      </c>
      <c r="H282" t="s">
        <v>2228</v>
      </c>
      <c r="J282" t="s">
        <v>2229</v>
      </c>
      <c r="K282" t="s">
        <v>198</v>
      </c>
      <c r="L282" t="s">
        <v>199</v>
      </c>
      <c r="O282" s="51">
        <v>46297.875694444447</v>
      </c>
      <c r="P282" t="s">
        <v>2230</v>
      </c>
      <c r="Q282" t="s">
        <v>2231</v>
      </c>
      <c r="R282" t="s">
        <v>2232</v>
      </c>
      <c r="S282" t="s">
        <v>2233</v>
      </c>
      <c r="T282" t="s">
        <v>2233</v>
      </c>
    </row>
    <row r="283" spans="1:20" x14ac:dyDescent="0.3">
      <c r="A283">
        <v>15704106</v>
      </c>
      <c r="B283" t="s">
        <v>275</v>
      </c>
      <c r="C283" s="51">
        <v>46296.479166666664</v>
      </c>
      <c r="E283" t="s">
        <v>201</v>
      </c>
      <c r="F283" t="s">
        <v>196</v>
      </c>
      <c r="G283" t="s">
        <v>197</v>
      </c>
      <c r="H283" t="s">
        <v>2234</v>
      </c>
      <c r="J283" t="s">
        <v>2235</v>
      </c>
      <c r="K283" t="s">
        <v>198</v>
      </c>
      <c r="L283" t="s">
        <v>199</v>
      </c>
      <c r="O283" s="51">
        <v>46297.875694444447</v>
      </c>
      <c r="P283" t="s">
        <v>2236</v>
      </c>
      <c r="Q283" t="s">
        <v>412</v>
      </c>
      <c r="R283" t="s">
        <v>554</v>
      </c>
      <c r="S283" t="s">
        <v>2237</v>
      </c>
      <c r="T283" t="s">
        <v>2237</v>
      </c>
    </row>
    <row r="284" spans="1:20" x14ac:dyDescent="0.3">
      <c r="A284">
        <v>15704052</v>
      </c>
      <c r="B284" t="s">
        <v>255</v>
      </c>
      <c r="C284" s="51">
        <v>46296.469444444447</v>
      </c>
      <c r="E284" t="s">
        <v>201</v>
      </c>
      <c r="F284" t="s">
        <v>196</v>
      </c>
      <c r="G284" t="s">
        <v>197</v>
      </c>
      <c r="H284" t="s">
        <v>2238</v>
      </c>
      <c r="J284" t="s">
        <v>2239</v>
      </c>
      <c r="K284" t="s">
        <v>198</v>
      </c>
      <c r="L284" t="s">
        <v>199</v>
      </c>
      <c r="M284" s="51">
        <v>46307.365277777775</v>
      </c>
      <c r="N284" t="s">
        <v>2239</v>
      </c>
      <c r="O284" s="51">
        <v>46297.876388888886</v>
      </c>
      <c r="P284" t="s">
        <v>2240</v>
      </c>
      <c r="Q284" t="s">
        <v>318</v>
      </c>
      <c r="R284" t="s">
        <v>319</v>
      </c>
      <c r="S284" t="s">
        <v>541</v>
      </c>
      <c r="T284" t="s">
        <v>541</v>
      </c>
    </row>
    <row r="285" spans="1:20" x14ac:dyDescent="0.3">
      <c r="A285">
        <v>15703872</v>
      </c>
      <c r="B285" t="s">
        <v>298</v>
      </c>
      <c r="C285" s="51">
        <v>46296.453472222223</v>
      </c>
      <c r="D285" s="51">
        <v>46298.074305555558</v>
      </c>
      <c r="E285" t="s">
        <v>208</v>
      </c>
      <c r="F285" t="s">
        <v>196</v>
      </c>
      <c r="G285" t="s">
        <v>197</v>
      </c>
      <c r="H285" t="s">
        <v>2241</v>
      </c>
      <c r="K285" t="s">
        <v>198</v>
      </c>
      <c r="L285" t="s">
        <v>209</v>
      </c>
      <c r="O285" s="51">
        <v>46297.875694444447</v>
      </c>
      <c r="P285" t="s">
        <v>2242</v>
      </c>
      <c r="Q285" t="s">
        <v>2243</v>
      </c>
      <c r="R285" t="s">
        <v>2244</v>
      </c>
      <c r="S285" t="s">
        <v>2245</v>
      </c>
      <c r="T285" t="s">
        <v>2245</v>
      </c>
    </row>
    <row r="286" spans="1:20" x14ac:dyDescent="0.3">
      <c r="A286">
        <v>15703846</v>
      </c>
      <c r="B286" t="s">
        <v>298</v>
      </c>
      <c r="C286" s="51">
        <v>46296.448611111111</v>
      </c>
      <c r="D286" s="51">
        <v>46298.074305555558</v>
      </c>
      <c r="E286" t="s">
        <v>208</v>
      </c>
      <c r="F286" t="s">
        <v>196</v>
      </c>
      <c r="G286" t="s">
        <v>197</v>
      </c>
      <c r="H286" t="s">
        <v>2246</v>
      </c>
      <c r="K286" t="s">
        <v>198</v>
      </c>
      <c r="L286" t="s">
        <v>209</v>
      </c>
      <c r="O286" s="51">
        <v>46297.875694444447</v>
      </c>
      <c r="P286" t="s">
        <v>2247</v>
      </c>
      <c r="Q286" t="s">
        <v>2243</v>
      </c>
      <c r="R286" t="s">
        <v>2244</v>
      </c>
      <c r="S286" t="s">
        <v>2245</v>
      </c>
      <c r="T286" t="s">
        <v>2245</v>
      </c>
    </row>
    <row r="287" spans="1:20" x14ac:dyDescent="0.3">
      <c r="A287">
        <v>15703808</v>
      </c>
      <c r="B287" t="s">
        <v>298</v>
      </c>
      <c r="C287" s="51">
        <v>46296.441666666666</v>
      </c>
      <c r="D287" s="51">
        <v>46298.074305555558</v>
      </c>
      <c r="E287" t="s">
        <v>208</v>
      </c>
      <c r="F287" t="s">
        <v>196</v>
      </c>
      <c r="G287" t="s">
        <v>197</v>
      </c>
      <c r="H287" t="s">
        <v>2248</v>
      </c>
      <c r="K287" t="s">
        <v>198</v>
      </c>
      <c r="L287" t="s">
        <v>209</v>
      </c>
      <c r="O287" s="51">
        <v>46297.875694444447</v>
      </c>
      <c r="P287" t="s">
        <v>2249</v>
      </c>
      <c r="Q287" t="s">
        <v>2243</v>
      </c>
      <c r="R287" t="s">
        <v>2244</v>
      </c>
      <c r="S287" t="s">
        <v>2245</v>
      </c>
      <c r="T287" t="s">
        <v>2245</v>
      </c>
    </row>
    <row r="288" spans="1:20" x14ac:dyDescent="0.3">
      <c r="A288">
        <v>15703636</v>
      </c>
      <c r="B288" t="s">
        <v>255</v>
      </c>
      <c r="C288" s="51">
        <v>46296.427083333336</v>
      </c>
      <c r="E288" t="s">
        <v>1507</v>
      </c>
      <c r="F288" t="s">
        <v>196</v>
      </c>
      <c r="G288" t="s">
        <v>197</v>
      </c>
      <c r="H288" t="s">
        <v>2250</v>
      </c>
      <c r="K288" t="s">
        <v>257</v>
      </c>
      <c r="L288" t="s">
        <v>258</v>
      </c>
      <c r="M288" s="51">
        <v>46297.541666666664</v>
      </c>
      <c r="S288" t="s">
        <v>303</v>
      </c>
    </row>
    <row r="289" spans="1:20" x14ac:dyDescent="0.3">
      <c r="A289">
        <v>15703634</v>
      </c>
      <c r="B289" t="s">
        <v>275</v>
      </c>
      <c r="C289" s="51">
        <v>46296.425694444442</v>
      </c>
      <c r="E289" t="s">
        <v>205</v>
      </c>
      <c r="F289" t="s">
        <v>196</v>
      </c>
      <c r="G289" t="s">
        <v>197</v>
      </c>
      <c r="H289" t="s">
        <v>2251</v>
      </c>
      <c r="J289" t="s">
        <v>2252</v>
      </c>
      <c r="K289" t="s">
        <v>198</v>
      </c>
      <c r="L289" t="s">
        <v>199</v>
      </c>
      <c r="O289" s="51">
        <v>46297.876388888886</v>
      </c>
      <c r="P289" t="s">
        <v>2253</v>
      </c>
      <c r="Q289" t="s">
        <v>252</v>
      </c>
      <c r="R289" t="s">
        <v>253</v>
      </c>
      <c r="S289" t="s">
        <v>2254</v>
      </c>
      <c r="T289" t="s">
        <v>2254</v>
      </c>
    </row>
    <row r="290" spans="1:20" x14ac:dyDescent="0.3">
      <c r="A290">
        <v>15703620</v>
      </c>
      <c r="B290" t="s">
        <v>255</v>
      </c>
      <c r="C290" s="51">
        <v>46296.422222222223</v>
      </c>
      <c r="E290" t="s">
        <v>256</v>
      </c>
      <c r="F290" t="s">
        <v>196</v>
      </c>
      <c r="G290" t="s">
        <v>197</v>
      </c>
      <c r="H290" t="s">
        <v>2255</v>
      </c>
      <c r="K290" t="s">
        <v>257</v>
      </c>
      <c r="L290" t="s">
        <v>258</v>
      </c>
      <c r="M290" s="51">
        <v>46297.541666666664</v>
      </c>
      <c r="N290" t="s">
        <v>608</v>
      </c>
      <c r="S290" t="s">
        <v>353</v>
      </c>
    </row>
    <row r="291" spans="1:20" x14ac:dyDescent="0.3">
      <c r="A291">
        <v>15703616</v>
      </c>
      <c r="B291" t="s">
        <v>255</v>
      </c>
      <c r="C291" s="51">
        <v>46296.42083333333</v>
      </c>
      <c r="E291" t="s">
        <v>1507</v>
      </c>
      <c r="F291" t="s">
        <v>196</v>
      </c>
      <c r="G291" t="s">
        <v>197</v>
      </c>
      <c r="H291" t="s">
        <v>537</v>
      </c>
      <c r="K291" t="s">
        <v>257</v>
      </c>
      <c r="L291" t="s">
        <v>258</v>
      </c>
      <c r="M291" s="51">
        <v>46297.541666666664</v>
      </c>
      <c r="N291" t="s">
        <v>587</v>
      </c>
      <c r="S291" t="s">
        <v>297</v>
      </c>
    </row>
    <row r="292" spans="1:20" x14ac:dyDescent="0.3">
      <c r="A292">
        <v>15703610</v>
      </c>
      <c r="B292" t="s">
        <v>255</v>
      </c>
      <c r="C292" s="51">
        <v>46296.42083333333</v>
      </c>
      <c r="E292" t="s">
        <v>337</v>
      </c>
      <c r="F292" t="s">
        <v>196</v>
      </c>
      <c r="G292" t="s">
        <v>197</v>
      </c>
      <c r="H292" t="s">
        <v>2256</v>
      </c>
      <c r="K292" t="s">
        <v>257</v>
      </c>
      <c r="L292" t="s">
        <v>258</v>
      </c>
      <c r="M292" s="51">
        <v>46297.541666666664</v>
      </c>
      <c r="N292" t="s">
        <v>2257</v>
      </c>
      <c r="S292" t="s">
        <v>562</v>
      </c>
    </row>
    <row r="293" spans="1:20" x14ac:dyDescent="0.3">
      <c r="A293">
        <v>15703608</v>
      </c>
      <c r="B293" t="s">
        <v>255</v>
      </c>
      <c r="C293" s="51">
        <v>46296.420138888891</v>
      </c>
      <c r="E293" t="s">
        <v>337</v>
      </c>
      <c r="F293" t="s">
        <v>196</v>
      </c>
      <c r="G293" t="s">
        <v>197</v>
      </c>
      <c r="H293" t="s">
        <v>2258</v>
      </c>
      <c r="K293" t="s">
        <v>257</v>
      </c>
      <c r="L293" t="s">
        <v>258</v>
      </c>
      <c r="M293" s="51">
        <v>46297.541666666664</v>
      </c>
      <c r="N293" t="s">
        <v>2257</v>
      </c>
      <c r="S293" t="s">
        <v>562</v>
      </c>
    </row>
    <row r="294" spans="1:20" x14ac:dyDescent="0.3">
      <c r="A294">
        <v>15703606</v>
      </c>
      <c r="B294" t="s">
        <v>255</v>
      </c>
      <c r="C294" s="51">
        <v>46296.420138888891</v>
      </c>
      <c r="E294" t="s">
        <v>337</v>
      </c>
      <c r="F294" t="s">
        <v>196</v>
      </c>
      <c r="G294" t="s">
        <v>197</v>
      </c>
      <c r="H294" t="s">
        <v>2259</v>
      </c>
      <c r="K294" t="s">
        <v>257</v>
      </c>
      <c r="L294" t="s">
        <v>258</v>
      </c>
      <c r="M294" s="51">
        <v>46297.541666666664</v>
      </c>
      <c r="N294" t="s">
        <v>2257</v>
      </c>
      <c r="S294" t="s">
        <v>562</v>
      </c>
    </row>
    <row r="295" spans="1:20" x14ac:dyDescent="0.3">
      <c r="A295">
        <v>15703604</v>
      </c>
      <c r="B295" t="s">
        <v>255</v>
      </c>
      <c r="C295" s="51">
        <v>46296.419444444444</v>
      </c>
      <c r="E295" t="s">
        <v>337</v>
      </c>
      <c r="F295" t="s">
        <v>196</v>
      </c>
      <c r="G295" t="s">
        <v>197</v>
      </c>
      <c r="H295" t="s">
        <v>2260</v>
      </c>
      <c r="K295" t="s">
        <v>257</v>
      </c>
      <c r="L295" t="s">
        <v>258</v>
      </c>
      <c r="M295" s="51">
        <v>46297.541666666664</v>
      </c>
      <c r="N295" t="s">
        <v>2261</v>
      </c>
      <c r="S295" t="s">
        <v>331</v>
      </c>
    </row>
    <row r="296" spans="1:20" x14ac:dyDescent="0.3">
      <c r="A296">
        <v>15703594</v>
      </c>
      <c r="B296" t="s">
        <v>275</v>
      </c>
      <c r="C296" s="51">
        <v>46296.418055555558</v>
      </c>
      <c r="E296" t="s">
        <v>201</v>
      </c>
      <c r="F296" t="s">
        <v>196</v>
      </c>
      <c r="G296" t="s">
        <v>197</v>
      </c>
      <c r="H296" t="s">
        <v>2262</v>
      </c>
      <c r="J296" t="s">
        <v>2263</v>
      </c>
      <c r="K296" t="s">
        <v>198</v>
      </c>
      <c r="L296" t="s">
        <v>199</v>
      </c>
      <c r="O296" s="51">
        <v>46297.875694444447</v>
      </c>
      <c r="P296" t="s">
        <v>2264</v>
      </c>
      <c r="Q296" t="s">
        <v>252</v>
      </c>
      <c r="R296" t="s">
        <v>253</v>
      </c>
      <c r="S296" t="s">
        <v>2254</v>
      </c>
      <c r="T296" t="s">
        <v>2254</v>
      </c>
    </row>
    <row r="297" spans="1:20" x14ac:dyDescent="0.3">
      <c r="A297">
        <v>15703470</v>
      </c>
      <c r="B297" t="s">
        <v>275</v>
      </c>
      <c r="C297" s="51">
        <v>46296.414583333331</v>
      </c>
      <c r="E297" t="s">
        <v>201</v>
      </c>
      <c r="F297" t="s">
        <v>196</v>
      </c>
      <c r="G297" t="s">
        <v>197</v>
      </c>
      <c r="H297" t="s">
        <v>2265</v>
      </c>
      <c r="J297" t="s">
        <v>2266</v>
      </c>
      <c r="K297" t="s">
        <v>198</v>
      </c>
      <c r="L297" t="s">
        <v>199</v>
      </c>
      <c r="O297" s="51">
        <v>46297.876388888886</v>
      </c>
      <c r="P297" t="s">
        <v>2267</v>
      </c>
      <c r="Q297" t="s">
        <v>252</v>
      </c>
      <c r="R297" t="s">
        <v>253</v>
      </c>
      <c r="S297" t="s">
        <v>2254</v>
      </c>
      <c r="T297" t="s">
        <v>2254</v>
      </c>
    </row>
    <row r="298" spans="1:20" x14ac:dyDescent="0.3">
      <c r="A298">
        <v>15703268</v>
      </c>
      <c r="B298" t="s">
        <v>1414</v>
      </c>
      <c r="C298" s="51">
        <v>46296.397222222222</v>
      </c>
      <c r="E298" t="s">
        <v>1415</v>
      </c>
      <c r="F298" t="s">
        <v>196</v>
      </c>
      <c r="G298" t="s">
        <v>197</v>
      </c>
      <c r="H298" t="s">
        <v>2268</v>
      </c>
      <c r="K298" t="s">
        <v>1417</v>
      </c>
      <c r="L298" t="s">
        <v>1418</v>
      </c>
    </row>
    <row r="299" spans="1:20" x14ac:dyDescent="0.3">
      <c r="A299">
        <v>15703252</v>
      </c>
      <c r="B299" t="s">
        <v>275</v>
      </c>
      <c r="C299" s="51">
        <v>46296.394444444442</v>
      </c>
      <c r="E299" t="s">
        <v>195</v>
      </c>
      <c r="F299" t="s">
        <v>196</v>
      </c>
      <c r="G299" t="s">
        <v>197</v>
      </c>
      <c r="H299" t="s">
        <v>2269</v>
      </c>
      <c r="J299" t="s">
        <v>2270</v>
      </c>
      <c r="K299" t="s">
        <v>198</v>
      </c>
      <c r="L299" t="s">
        <v>199</v>
      </c>
      <c r="O299" s="51">
        <v>46297.876388888886</v>
      </c>
      <c r="P299" t="s">
        <v>2271</v>
      </c>
      <c r="Q299" t="s">
        <v>272</v>
      </c>
      <c r="R299" t="s">
        <v>301</v>
      </c>
      <c r="S299" t="s">
        <v>606</v>
      </c>
      <c r="T299" t="s">
        <v>606</v>
      </c>
    </row>
    <row r="300" spans="1:20" x14ac:dyDescent="0.3">
      <c r="A300">
        <v>15703110</v>
      </c>
      <c r="B300" t="s">
        <v>275</v>
      </c>
      <c r="C300" s="51">
        <v>46296.374305555553</v>
      </c>
      <c r="E300" t="s">
        <v>205</v>
      </c>
      <c r="F300" t="s">
        <v>196</v>
      </c>
      <c r="G300" t="s">
        <v>197</v>
      </c>
      <c r="H300" t="s">
        <v>2272</v>
      </c>
      <c r="J300" t="s">
        <v>2273</v>
      </c>
      <c r="K300" t="s">
        <v>198</v>
      </c>
      <c r="L300" t="s">
        <v>199</v>
      </c>
      <c r="O300" s="51">
        <v>46297.875694444447</v>
      </c>
      <c r="P300" t="s">
        <v>2274</v>
      </c>
      <c r="Q300" t="s">
        <v>2275</v>
      </c>
      <c r="R300" t="s">
        <v>2276</v>
      </c>
      <c r="S300" t="s">
        <v>2277</v>
      </c>
      <c r="T300" t="s">
        <v>2277</v>
      </c>
    </row>
    <row r="301" spans="1:20" x14ac:dyDescent="0.3">
      <c r="A301">
        <v>15703086</v>
      </c>
      <c r="B301" t="s">
        <v>275</v>
      </c>
      <c r="C301" s="51">
        <v>46296.367361111108</v>
      </c>
      <c r="E301" t="s">
        <v>195</v>
      </c>
      <c r="F301" t="s">
        <v>196</v>
      </c>
      <c r="G301" t="s">
        <v>197</v>
      </c>
      <c r="H301" t="s">
        <v>2278</v>
      </c>
      <c r="J301" t="s">
        <v>2279</v>
      </c>
      <c r="K301" t="s">
        <v>198</v>
      </c>
      <c r="L301" t="s">
        <v>199</v>
      </c>
      <c r="O301" s="51">
        <v>46297.876388888886</v>
      </c>
      <c r="P301" t="s">
        <v>2280</v>
      </c>
      <c r="Q301" t="s">
        <v>286</v>
      </c>
      <c r="R301" t="s">
        <v>287</v>
      </c>
      <c r="S301" t="s">
        <v>2281</v>
      </c>
      <c r="T301" t="s">
        <v>2281</v>
      </c>
    </row>
    <row r="302" spans="1:20" x14ac:dyDescent="0.3">
      <c r="A302">
        <v>15702846</v>
      </c>
      <c r="B302" t="s">
        <v>275</v>
      </c>
      <c r="C302" s="51">
        <v>46296.364583333336</v>
      </c>
      <c r="E302" t="s">
        <v>204</v>
      </c>
      <c r="F302" t="s">
        <v>196</v>
      </c>
      <c r="G302" t="s">
        <v>197</v>
      </c>
      <c r="H302" t="s">
        <v>2282</v>
      </c>
      <c r="J302" t="s">
        <v>2283</v>
      </c>
      <c r="K302" t="s">
        <v>198</v>
      </c>
      <c r="L302" t="s">
        <v>199</v>
      </c>
      <c r="O302" s="51">
        <v>46297.876388888886</v>
      </c>
      <c r="P302" t="s">
        <v>2284</v>
      </c>
      <c r="Q302" t="s">
        <v>286</v>
      </c>
      <c r="R302" t="s">
        <v>287</v>
      </c>
      <c r="S302" t="s">
        <v>2281</v>
      </c>
      <c r="T302" t="s">
        <v>2281</v>
      </c>
    </row>
    <row r="303" spans="1:20" x14ac:dyDescent="0.3">
      <c r="A303">
        <v>15702630</v>
      </c>
      <c r="B303" t="s">
        <v>255</v>
      </c>
      <c r="C303" s="51">
        <v>46296.349305555559</v>
      </c>
      <c r="E303" t="s">
        <v>204</v>
      </c>
      <c r="F303" t="s">
        <v>196</v>
      </c>
      <c r="G303" t="s">
        <v>197</v>
      </c>
      <c r="H303" t="s">
        <v>2285</v>
      </c>
      <c r="J303" t="s">
        <v>2286</v>
      </c>
      <c r="K303" t="s">
        <v>198</v>
      </c>
      <c r="L303" t="s">
        <v>199</v>
      </c>
      <c r="M303" s="51">
        <v>46307.365277777775</v>
      </c>
      <c r="N303" t="s">
        <v>2286</v>
      </c>
      <c r="O303" s="51">
        <v>46297.876388888886</v>
      </c>
      <c r="P303" t="s">
        <v>2287</v>
      </c>
      <c r="Q303" t="s">
        <v>389</v>
      </c>
      <c r="R303" t="s">
        <v>390</v>
      </c>
      <c r="S303" t="s">
        <v>1773</v>
      </c>
      <c r="T303" t="s">
        <v>1773</v>
      </c>
    </row>
    <row r="304" spans="1:20" x14ac:dyDescent="0.3">
      <c r="A304">
        <v>15702616</v>
      </c>
      <c r="B304" t="s">
        <v>255</v>
      </c>
      <c r="C304" s="51">
        <v>46296.339583333334</v>
      </c>
      <c r="E304" t="s">
        <v>195</v>
      </c>
      <c r="F304" t="s">
        <v>196</v>
      </c>
      <c r="G304" t="s">
        <v>197</v>
      </c>
      <c r="H304" t="s">
        <v>2288</v>
      </c>
      <c r="J304" t="s">
        <v>2289</v>
      </c>
      <c r="K304" t="s">
        <v>198</v>
      </c>
      <c r="L304" t="s">
        <v>199</v>
      </c>
      <c r="M304" s="51">
        <v>46307.365277777775</v>
      </c>
      <c r="N304" t="s">
        <v>2290</v>
      </c>
      <c r="O304" s="51">
        <v>46297.875694444447</v>
      </c>
      <c r="P304" t="s">
        <v>2291</v>
      </c>
      <c r="Q304" t="s">
        <v>577</v>
      </c>
      <c r="R304" t="s">
        <v>578</v>
      </c>
      <c r="S304" t="s">
        <v>2292</v>
      </c>
      <c r="T304" t="s">
        <v>2292</v>
      </c>
    </row>
    <row r="305" spans="1:20" x14ac:dyDescent="0.3">
      <c r="A305">
        <v>15702454</v>
      </c>
      <c r="B305" t="s">
        <v>255</v>
      </c>
      <c r="C305" s="51">
        <v>46296.32916666667</v>
      </c>
      <c r="E305" t="s">
        <v>201</v>
      </c>
      <c r="F305" t="s">
        <v>196</v>
      </c>
      <c r="G305" t="s">
        <v>197</v>
      </c>
      <c r="H305" t="s">
        <v>2293</v>
      </c>
      <c r="J305" t="s">
        <v>2294</v>
      </c>
      <c r="K305" t="s">
        <v>198</v>
      </c>
      <c r="L305" t="s">
        <v>199</v>
      </c>
      <c r="M305" s="51">
        <v>46307.365277777775</v>
      </c>
      <c r="N305" t="s">
        <v>2295</v>
      </c>
      <c r="O305" s="51">
        <v>46297.875694444447</v>
      </c>
      <c r="P305" t="s">
        <v>2296</v>
      </c>
      <c r="Q305" t="s">
        <v>577</v>
      </c>
      <c r="R305" t="s">
        <v>578</v>
      </c>
      <c r="S305" t="s">
        <v>2292</v>
      </c>
      <c r="T305" t="s">
        <v>2292</v>
      </c>
    </row>
    <row r="306" spans="1:20" x14ac:dyDescent="0.3">
      <c r="A306">
        <v>15702418</v>
      </c>
      <c r="B306" t="s">
        <v>275</v>
      </c>
      <c r="C306" s="51">
        <v>46296.322916666664</v>
      </c>
      <c r="E306" t="s">
        <v>201</v>
      </c>
      <c r="F306" t="s">
        <v>196</v>
      </c>
      <c r="G306" t="s">
        <v>197</v>
      </c>
      <c r="H306" t="s">
        <v>2297</v>
      </c>
      <c r="J306" t="s">
        <v>2298</v>
      </c>
      <c r="K306" t="s">
        <v>198</v>
      </c>
      <c r="L306" t="s">
        <v>199</v>
      </c>
      <c r="O306" s="51">
        <v>46297.875694444447</v>
      </c>
      <c r="P306" t="s">
        <v>2299</v>
      </c>
      <c r="Q306" t="s">
        <v>359</v>
      </c>
      <c r="R306" t="s">
        <v>360</v>
      </c>
      <c r="S306" t="s">
        <v>462</v>
      </c>
      <c r="T306" t="s">
        <v>462</v>
      </c>
    </row>
    <row r="307" spans="1:20" x14ac:dyDescent="0.3">
      <c r="A307">
        <v>15702404</v>
      </c>
      <c r="B307" t="s">
        <v>255</v>
      </c>
      <c r="C307" s="51">
        <v>46296.319444444445</v>
      </c>
      <c r="E307" t="s">
        <v>204</v>
      </c>
      <c r="F307" t="s">
        <v>196</v>
      </c>
      <c r="G307" t="s">
        <v>197</v>
      </c>
      <c r="H307" t="s">
        <v>2300</v>
      </c>
      <c r="J307" t="s">
        <v>2301</v>
      </c>
      <c r="K307" t="s">
        <v>198</v>
      </c>
      <c r="L307" t="s">
        <v>199</v>
      </c>
      <c r="M307" s="51">
        <v>46304.584027777775</v>
      </c>
      <c r="N307" t="s">
        <v>2302</v>
      </c>
      <c r="O307" s="51">
        <v>46297.875694444447</v>
      </c>
      <c r="P307" t="s">
        <v>2303</v>
      </c>
      <c r="Q307" t="s">
        <v>351</v>
      </c>
      <c r="R307" t="s">
        <v>576</v>
      </c>
      <c r="S307" t="s">
        <v>2304</v>
      </c>
      <c r="T307" t="s">
        <v>2304</v>
      </c>
    </row>
    <row r="308" spans="1:20" x14ac:dyDescent="0.3">
      <c r="A308">
        <v>15702400</v>
      </c>
      <c r="B308" t="s">
        <v>275</v>
      </c>
      <c r="C308" s="51">
        <v>46296.316666666666</v>
      </c>
      <c r="E308" t="s">
        <v>195</v>
      </c>
      <c r="F308" t="s">
        <v>196</v>
      </c>
      <c r="G308" t="s">
        <v>197</v>
      </c>
      <c r="H308" t="s">
        <v>2305</v>
      </c>
      <c r="J308" t="s">
        <v>2306</v>
      </c>
      <c r="K308" t="s">
        <v>198</v>
      </c>
      <c r="L308" t="s">
        <v>199</v>
      </c>
      <c r="O308" s="51">
        <v>46297.875694444447</v>
      </c>
      <c r="P308" t="s">
        <v>2307</v>
      </c>
      <c r="Q308" t="s">
        <v>1604</v>
      </c>
      <c r="R308" t="s">
        <v>1605</v>
      </c>
      <c r="S308" t="s">
        <v>2308</v>
      </c>
      <c r="T308" t="s">
        <v>2308</v>
      </c>
    </row>
    <row r="309" spans="1:20" x14ac:dyDescent="0.3">
      <c r="A309">
        <v>15702220</v>
      </c>
      <c r="B309" t="s">
        <v>275</v>
      </c>
      <c r="C309" s="51">
        <v>46296.3125</v>
      </c>
      <c r="E309" t="s">
        <v>204</v>
      </c>
      <c r="F309" t="s">
        <v>196</v>
      </c>
      <c r="G309" t="s">
        <v>197</v>
      </c>
      <c r="H309" t="s">
        <v>2309</v>
      </c>
      <c r="J309" t="s">
        <v>2310</v>
      </c>
      <c r="K309" t="s">
        <v>198</v>
      </c>
      <c r="L309" t="s">
        <v>199</v>
      </c>
      <c r="O309" s="51">
        <v>46297.876388888886</v>
      </c>
      <c r="P309" t="s">
        <v>2311</v>
      </c>
      <c r="Q309" t="s">
        <v>214</v>
      </c>
      <c r="R309" t="s">
        <v>1591</v>
      </c>
      <c r="S309" t="s">
        <v>2312</v>
      </c>
      <c r="T309" t="s">
        <v>2312</v>
      </c>
    </row>
    <row r="310" spans="1:20" x14ac:dyDescent="0.3">
      <c r="A310">
        <v>15702018</v>
      </c>
      <c r="B310" t="s">
        <v>275</v>
      </c>
      <c r="C310" s="51">
        <v>46296.285416666666</v>
      </c>
      <c r="E310" t="s">
        <v>195</v>
      </c>
      <c r="F310" t="s">
        <v>196</v>
      </c>
      <c r="G310" t="s">
        <v>197</v>
      </c>
      <c r="H310" t="s">
        <v>2313</v>
      </c>
      <c r="J310" t="s">
        <v>2314</v>
      </c>
      <c r="K310" t="s">
        <v>198</v>
      </c>
      <c r="L310" t="s">
        <v>199</v>
      </c>
      <c r="O310" s="51">
        <v>46297.876388888886</v>
      </c>
      <c r="P310" t="s">
        <v>2315</v>
      </c>
      <c r="Q310" t="s">
        <v>551</v>
      </c>
      <c r="R310" t="s">
        <v>396</v>
      </c>
      <c r="S310" t="s">
        <v>550</v>
      </c>
      <c r="T310" t="s">
        <v>550</v>
      </c>
    </row>
    <row r="311" spans="1:20" x14ac:dyDescent="0.3">
      <c r="A311">
        <v>15702010</v>
      </c>
      <c r="B311" t="s">
        <v>275</v>
      </c>
      <c r="C311" s="51">
        <v>46296.28125</v>
      </c>
      <c r="E311" t="s">
        <v>201</v>
      </c>
      <c r="F311" t="s">
        <v>196</v>
      </c>
      <c r="G311" t="s">
        <v>197</v>
      </c>
      <c r="H311" t="s">
        <v>2316</v>
      </c>
      <c r="J311" t="s">
        <v>2317</v>
      </c>
      <c r="K311" t="s">
        <v>198</v>
      </c>
      <c r="L311" t="s">
        <v>199</v>
      </c>
      <c r="O311" s="51">
        <v>46297.875694444447</v>
      </c>
      <c r="P311" t="s">
        <v>2318</v>
      </c>
      <c r="Q311" t="s">
        <v>582</v>
      </c>
      <c r="R311" t="s">
        <v>583</v>
      </c>
      <c r="S311" t="s">
        <v>581</v>
      </c>
      <c r="T311" t="s">
        <v>581</v>
      </c>
    </row>
  </sheetData>
  <autoFilter ref="A1:T311" xr:uid="{EF1B38CB-7357-4B23-AF22-69629AAB7AA0}"/>
  <pageMargins left="0.7" right="0.7" top="0.75" bottom="0.75" header="0.3" footer="0.3"/>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3843785-8E9E-4A64-8943-E6ADFB34E620}">
  <sheetPr>
    <tabColor rgb="FFFF0000"/>
  </sheetPr>
  <dimension ref="A1:G32"/>
  <sheetViews>
    <sheetView zoomScaleNormal="100" workbookViewId="0">
      <selection sqref="A1:F1"/>
    </sheetView>
  </sheetViews>
  <sheetFormatPr defaultRowHeight="15.05" x14ac:dyDescent="0.3"/>
  <cols>
    <col min="1" max="1" width="12.88671875" style="11" customWidth="1"/>
    <col min="2" max="2" width="11" style="11" bestFit="1" customWidth="1"/>
    <col min="3" max="3" width="16.5546875" customWidth="1"/>
    <col min="4" max="4" width="11.33203125" style="11" bestFit="1" customWidth="1"/>
    <col min="5" max="5" width="13.44140625" style="11" customWidth="1"/>
    <col min="6" max="6" width="10" customWidth="1"/>
    <col min="7" max="8" width="9.109375" customWidth="1"/>
    <col min="9" max="9" width="12" bestFit="1" customWidth="1"/>
    <col min="10" max="10" width="7.33203125" bestFit="1" customWidth="1"/>
    <col min="11" max="11" width="10" bestFit="1" customWidth="1"/>
    <col min="12" max="12" width="11.33203125" bestFit="1" customWidth="1"/>
  </cols>
  <sheetData>
    <row r="1" spans="1:7" ht="33.85" customHeight="1" x14ac:dyDescent="0.3">
      <c r="A1" s="1" t="s">
        <v>3</v>
      </c>
      <c r="B1" s="1" t="s">
        <v>30</v>
      </c>
      <c r="C1" s="1" t="s">
        <v>35</v>
      </c>
      <c r="D1" s="1" t="s">
        <v>97</v>
      </c>
      <c r="E1" s="1" t="s">
        <v>34</v>
      </c>
      <c r="G1" s="2"/>
    </row>
    <row r="2" spans="1:7" x14ac:dyDescent="0.3">
      <c r="A2" s="3" t="s">
        <v>8</v>
      </c>
      <c r="B2" s="3">
        <v>10081</v>
      </c>
      <c r="C2" s="12">
        <v>602</v>
      </c>
      <c r="D2" s="5">
        <v>0.01</v>
      </c>
      <c r="E2" s="6">
        <f t="shared" ref="E2:E14" si="0">C2/B2</f>
        <v>5.9716297986310882E-2</v>
      </c>
    </row>
    <row r="3" spans="1:7" x14ac:dyDescent="0.3">
      <c r="A3" s="3" t="s">
        <v>9</v>
      </c>
      <c r="B3" s="3">
        <v>10081</v>
      </c>
      <c r="C3" s="12">
        <v>472</v>
      </c>
      <c r="D3" s="5">
        <v>0.01</v>
      </c>
      <c r="E3" s="6">
        <f t="shared" si="0"/>
        <v>4.6820751909532783E-2</v>
      </c>
    </row>
    <row r="4" spans="1:7" x14ac:dyDescent="0.3">
      <c r="A4" s="3" t="s">
        <v>10</v>
      </c>
      <c r="B4" s="3">
        <v>10174</v>
      </c>
      <c r="C4" s="12">
        <v>547</v>
      </c>
      <c r="D4" s="5">
        <v>0.01</v>
      </c>
      <c r="E4" s="6">
        <f t="shared" si="0"/>
        <v>5.3764497739335559E-2</v>
      </c>
    </row>
    <row r="5" spans="1:7" x14ac:dyDescent="0.3">
      <c r="A5" s="3" t="s">
        <v>11</v>
      </c>
      <c r="B5" s="3">
        <v>10142</v>
      </c>
      <c r="C5" s="12">
        <v>546</v>
      </c>
      <c r="D5" s="5">
        <v>0.01</v>
      </c>
      <c r="E5" s="6">
        <f t="shared" si="0"/>
        <v>5.3835535397357526E-2</v>
      </c>
    </row>
    <row r="6" spans="1:7" x14ac:dyDescent="0.3">
      <c r="A6" s="3" t="s">
        <v>12</v>
      </c>
      <c r="B6" s="3">
        <v>10428</v>
      </c>
      <c r="C6" s="15">
        <v>519</v>
      </c>
      <c r="D6" s="5">
        <v>0.01</v>
      </c>
      <c r="E6" s="6">
        <f t="shared" si="0"/>
        <v>4.9769850402761794E-2</v>
      </c>
    </row>
    <row r="7" spans="1:7" x14ac:dyDescent="0.3">
      <c r="A7" s="3" t="s">
        <v>28</v>
      </c>
      <c r="B7" s="3">
        <v>10575</v>
      </c>
      <c r="C7" s="12">
        <v>572</v>
      </c>
      <c r="D7" s="5">
        <v>0.01</v>
      </c>
      <c r="E7" s="6">
        <f t="shared" si="0"/>
        <v>5.4089834515366433E-2</v>
      </c>
    </row>
    <row r="8" spans="1:7" ht="26.95" x14ac:dyDescent="0.3">
      <c r="A8" s="33" t="s">
        <v>100</v>
      </c>
      <c r="B8" s="27">
        <f>Overages!C52</f>
        <v>10773</v>
      </c>
      <c r="C8" s="12">
        <f>Overages!B52</f>
        <v>329</v>
      </c>
      <c r="D8" s="5">
        <v>0.01</v>
      </c>
      <c r="E8" s="6">
        <f t="shared" si="0"/>
        <v>3.0539311241065625E-2</v>
      </c>
    </row>
    <row r="9" spans="1:7" ht="30.05" x14ac:dyDescent="0.3">
      <c r="A9" s="33" t="s">
        <v>99</v>
      </c>
      <c r="B9" s="27">
        <f>Overages!C53</f>
        <v>10773</v>
      </c>
      <c r="C9" s="12">
        <f>Overages!B53</f>
        <v>326</v>
      </c>
      <c r="D9" s="5">
        <v>0.05</v>
      </c>
      <c r="E9" s="6">
        <f t="shared" ref="E9" si="1">C9/B9</f>
        <v>3.0260837278381136E-2</v>
      </c>
    </row>
    <row r="10" spans="1:7" x14ac:dyDescent="0.3">
      <c r="A10" s="3" t="s">
        <v>14</v>
      </c>
      <c r="B10" s="27">
        <f>Overages!C54</f>
        <v>11086</v>
      </c>
      <c r="C10" s="12">
        <f>Overages!B54</f>
        <v>554</v>
      </c>
      <c r="D10" s="5">
        <v>0.05</v>
      </c>
      <c r="E10" s="6">
        <f t="shared" si="0"/>
        <v>4.997293884178243E-2</v>
      </c>
    </row>
    <row r="11" spans="1:7" x14ac:dyDescent="0.3">
      <c r="A11" s="3" t="s">
        <v>15</v>
      </c>
      <c r="B11" s="27">
        <f>Overages!C55</f>
        <v>11179</v>
      </c>
      <c r="C11" s="12">
        <f>Overages!B55</f>
        <v>523</v>
      </c>
      <c r="D11" s="5">
        <v>0.05</v>
      </c>
      <c r="E11" s="6">
        <f t="shared" si="0"/>
        <v>4.6784148850523302E-2</v>
      </c>
    </row>
    <row r="12" spans="1:7" x14ac:dyDescent="0.3">
      <c r="A12" s="3" t="s">
        <v>16</v>
      </c>
      <c r="B12" s="27">
        <f>Overages!C56</f>
        <v>11304</v>
      </c>
      <c r="C12" s="12">
        <f>Overages!B56</f>
        <v>551</v>
      </c>
      <c r="D12" s="5">
        <v>0.05</v>
      </c>
      <c r="E12" s="6">
        <f t="shared" si="0"/>
        <v>4.8743807501769286E-2</v>
      </c>
    </row>
    <row r="13" spans="1:7" x14ac:dyDescent="0.3">
      <c r="A13" s="3" t="s">
        <v>17</v>
      </c>
      <c r="B13" s="27">
        <f>Overages!C57</f>
        <v>11343</v>
      </c>
      <c r="C13" s="12">
        <f>Overages!B57</f>
        <v>499</v>
      </c>
      <c r="D13" s="5">
        <v>0.05</v>
      </c>
      <c r="E13" s="6">
        <f t="shared" si="0"/>
        <v>4.3991889270915983E-2</v>
      </c>
    </row>
    <row r="14" spans="1:7" x14ac:dyDescent="0.3">
      <c r="A14" s="3" t="s">
        <v>18</v>
      </c>
      <c r="B14" s="27">
        <f>Overages!C58</f>
        <v>11447</v>
      </c>
      <c r="C14" s="12">
        <f>Overages!B58</f>
        <v>612</v>
      </c>
      <c r="D14" s="5">
        <v>0.05</v>
      </c>
      <c r="E14" s="6">
        <f t="shared" si="0"/>
        <v>5.3463789639206782E-2</v>
      </c>
    </row>
    <row r="15" spans="1:7" x14ac:dyDescent="0.3">
      <c r="A15" s="70" t="s">
        <v>27</v>
      </c>
      <c r="B15" s="70"/>
      <c r="C15" s="7">
        <f>SUM(C2:C14)</f>
        <v>6652</v>
      </c>
      <c r="D15" s="8"/>
      <c r="E15" s="9">
        <f>AVERAGE(E2:E14)</f>
        <v>4.7827191582639199E-2</v>
      </c>
    </row>
    <row r="16" spans="1:7" x14ac:dyDescent="0.3">
      <c r="A16" s="10"/>
    </row>
    <row r="17" spans="1:4" x14ac:dyDescent="0.3">
      <c r="A17"/>
      <c r="B17"/>
      <c r="D17"/>
    </row>
    <row r="18" spans="1:4" x14ac:dyDescent="0.3">
      <c r="A18"/>
      <c r="B18"/>
      <c r="D18"/>
    </row>
    <row r="19" spans="1:4" x14ac:dyDescent="0.3">
      <c r="A19"/>
      <c r="B19"/>
      <c r="D19"/>
    </row>
    <row r="20" spans="1:4" x14ac:dyDescent="0.3">
      <c r="A20"/>
      <c r="B20"/>
      <c r="D20"/>
    </row>
    <row r="21" spans="1:4" x14ac:dyDescent="0.3">
      <c r="A21"/>
      <c r="B21"/>
      <c r="D21"/>
    </row>
    <row r="22" spans="1:4" x14ac:dyDescent="0.3">
      <c r="A22"/>
      <c r="B22"/>
      <c r="D22"/>
    </row>
    <row r="23" spans="1:4" x14ac:dyDescent="0.3">
      <c r="A23"/>
      <c r="B23"/>
    </row>
    <row r="24" spans="1:4" x14ac:dyDescent="0.3">
      <c r="A24"/>
      <c r="B24"/>
    </row>
    <row r="25" spans="1:4" x14ac:dyDescent="0.3">
      <c r="A25"/>
      <c r="B25"/>
    </row>
    <row r="26" spans="1:4" x14ac:dyDescent="0.3">
      <c r="A26"/>
      <c r="B26"/>
    </row>
    <row r="27" spans="1:4" x14ac:dyDescent="0.3">
      <c r="A27"/>
      <c r="B27"/>
    </row>
    <row r="28" spans="1:4" x14ac:dyDescent="0.3">
      <c r="A28"/>
      <c r="B28"/>
    </row>
    <row r="29" spans="1:4" x14ac:dyDescent="0.3">
      <c r="A29"/>
      <c r="B29"/>
    </row>
    <row r="30" spans="1:4" x14ac:dyDescent="0.3">
      <c r="A30"/>
      <c r="B30"/>
    </row>
    <row r="31" spans="1:4" x14ac:dyDescent="0.3">
      <c r="A31"/>
      <c r="B31"/>
    </row>
    <row r="32" spans="1:4" x14ac:dyDescent="0.3">
      <c r="A32"/>
      <c r="B32"/>
    </row>
  </sheetData>
  <mergeCells count="1">
    <mergeCell ref="A15:B15"/>
  </mergeCells>
  <pageMargins left="0.7" right="0.7" top="0.75" bottom="0.75" header="0.3" footer="0.3"/>
  <drawing r:id="rId1"/>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ct:contentTypeSchema xmlns:ct="http://schemas.microsoft.com/office/2006/metadata/contentType" xmlns:ma="http://schemas.microsoft.com/office/2006/metadata/properties/metaAttributes" ct:_="" ma:_="" ma:contentTypeName="Document" ma:contentTypeID="0x010100ECBE4862AF64304FAC9D004DE925DBD0" ma:contentTypeVersion="18" ma:contentTypeDescription="Create a new document." ma:contentTypeScope="" ma:versionID="9a30bec6e02b8c0ac2984bb921b8d04d">
  <xsd:schema xmlns:xsd="http://www.w3.org/2001/XMLSchema" xmlns:xs="http://www.w3.org/2001/XMLSchema" xmlns:p="http://schemas.microsoft.com/office/2006/metadata/properties" xmlns:ns1="http://schemas.microsoft.com/sharepoint/v3" xmlns:ns2="9573dd44-4260-4d65-815d-8cde3758f336" xmlns:ns3="27ce3a8b-810b-41e5-8107-5c6a2332a27a" targetNamespace="http://schemas.microsoft.com/office/2006/metadata/properties" ma:root="true" ma:fieldsID="eb1ba3c467df4e7fca9efe77081ccab1" ns1:_="" ns2:_="" ns3:_="">
    <xsd:import namespace="http://schemas.microsoft.com/sharepoint/v3"/>
    <xsd:import namespace="9573dd44-4260-4d65-815d-8cde3758f336"/>
    <xsd:import namespace="27ce3a8b-810b-41e5-8107-5c6a2332a27a"/>
    <xsd:element name="properties">
      <xsd:complexType>
        <xsd:sequence>
          <xsd:element name="documentManagement">
            <xsd:complexType>
              <xsd:all>
                <xsd:element ref="ns2:MediaServiceMetadata" minOccurs="0"/>
                <xsd:element ref="ns2:MediaServiceFastMetadata" minOccurs="0"/>
                <xsd:element ref="ns2:MediaServiceGenerationTime" minOccurs="0"/>
                <xsd:element ref="ns2:MediaServiceEventHashCode" minOccurs="0"/>
                <xsd:element ref="ns2:lcf76f155ced4ddcb4097134ff3c332f" minOccurs="0"/>
                <xsd:element ref="ns3:TaxCatchAll" minOccurs="0"/>
                <xsd:element ref="ns2:MediaServiceSearchProperties" minOccurs="0"/>
                <xsd:element ref="ns3:SharedWithUsers" minOccurs="0"/>
                <xsd:element ref="ns3:SharedWithDetails" minOccurs="0"/>
                <xsd:element ref="ns2:MediaServiceDateTaken" minOccurs="0"/>
                <xsd:element ref="ns2:MediaLengthInSeconds" minOccurs="0"/>
                <xsd:element ref="ns2:MediaServiceOCR" minOccurs="0"/>
                <xsd:element ref="ns2:MediaServiceObjectDetectorVersions" minOccurs="0"/>
                <xsd:element ref="ns1:_ip_UnifiedCompliancePolicyProperties" minOccurs="0"/>
                <xsd:element ref="ns1:_ip_UnifiedCompliancePolicyUIAction"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http://schemas.microsoft.com/sharepoint/v3" elementFormDefault="qualified">
    <xsd:import namespace="http://schemas.microsoft.com/office/2006/documentManagement/types"/>
    <xsd:import namespace="http://schemas.microsoft.com/office/infopath/2007/PartnerControls"/>
    <xsd:element name="_ip_UnifiedCompliancePolicyProperties" ma:index="22" nillable="true" ma:displayName="Unified Compliance Policy Properties" ma:hidden="true" ma:internalName="_ip_UnifiedCompliancePolicyProperties">
      <xsd:simpleType>
        <xsd:restriction base="dms:Note"/>
      </xsd:simpleType>
    </xsd:element>
    <xsd:element name="_ip_UnifiedCompliancePolicyUIAction" ma:index="23" nillable="true" ma:displayName="Unified Compliance Policy UI Action" ma:hidden="true" ma:internalName="_ip_UnifiedCompliancePolicyUIAction">
      <xsd:simpleType>
        <xsd:restriction base="dms:Text"/>
      </xsd:simpleType>
    </xsd:element>
  </xsd:schema>
  <xsd:schema xmlns:xsd="http://www.w3.org/2001/XMLSchema" xmlns:xs="http://www.w3.org/2001/XMLSchema" xmlns:dms="http://schemas.microsoft.com/office/2006/documentManagement/types" xmlns:pc="http://schemas.microsoft.com/office/infopath/2007/PartnerControls" targetNamespace="9573dd44-4260-4d65-815d-8cde3758f336"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GenerationTime" ma:index="10" nillable="true" ma:displayName="MediaServiceGenerationTime" ma:hidden="true" ma:internalName="MediaServiceGenerationTime" ma:readOnly="true">
      <xsd:simpleType>
        <xsd:restriction base="dms:Text"/>
      </xsd:simpleType>
    </xsd:element>
    <xsd:element name="MediaServiceEventHashCode" ma:index="11" nillable="true" ma:displayName="MediaServiceEventHashCode" ma:hidden="true" ma:internalName="MediaServiceEventHashCode" ma:readOnly="true">
      <xsd:simpleType>
        <xsd:restriction base="dms:Text"/>
      </xsd:simpleType>
    </xsd:element>
    <xsd:element name="lcf76f155ced4ddcb4097134ff3c332f" ma:index="13" nillable="true" ma:taxonomy="true" ma:internalName="lcf76f155ced4ddcb4097134ff3c332f" ma:taxonomyFieldName="MediaServiceImageTags" ma:displayName="Image Tags" ma:readOnly="false" ma:fieldId="{5cf76f15-5ced-4ddc-b409-7134ff3c332f}" ma:taxonomyMulti="true" ma:sspId="449cf140-3819-4d79-88ab-898492c918f1" ma:termSetId="09814cd3-568e-fe90-9814-8d621ff8fb84" ma:anchorId="fba54fb3-c3e1-fe81-a776-ca4b69148c4d" ma:open="true" ma:isKeyword="false">
      <xsd:complexType>
        <xsd:sequence>
          <xsd:element ref="pc:Terms" minOccurs="0" maxOccurs="1"/>
        </xsd:sequence>
      </xsd:complexType>
    </xsd:element>
    <xsd:element name="MediaServiceSearchProperties" ma:index="15" nillable="true" ma:displayName="MediaServiceSearchProperties" ma:hidden="true" ma:internalName="MediaServiceSearchProperties" ma:readOnly="true">
      <xsd:simpleType>
        <xsd:restriction base="dms:Note"/>
      </xsd:simpleType>
    </xsd:element>
    <xsd:element name="MediaServiceDateTaken" ma:index="18" nillable="true" ma:displayName="MediaServiceDateTaken" ma:hidden="true" ma:indexed="true" ma:internalName="MediaServiceDateTaken" ma:readOnly="true">
      <xsd:simpleType>
        <xsd:restriction base="dms:Text"/>
      </xsd:simpleType>
    </xsd:element>
    <xsd:element name="MediaLengthInSeconds" ma:index="19" nillable="true" ma:displayName="MediaLengthInSeconds" ma:hidden="true" ma:internalName="MediaLengthInSeconds" ma:readOnly="true">
      <xsd:simpleType>
        <xsd:restriction base="dms:Unknown"/>
      </xsd:simpleType>
    </xsd:element>
    <xsd:element name="MediaServiceOCR" ma:index="20" nillable="true" ma:displayName="Extracted Text" ma:internalName="MediaServiceOCR" ma:readOnly="true">
      <xsd:simpleType>
        <xsd:restriction base="dms:Note">
          <xsd:maxLength value="255"/>
        </xsd:restriction>
      </xsd:simpleType>
    </xsd:element>
    <xsd:element name="MediaServiceObjectDetectorVersions" ma:index="21" nillable="true" ma:displayName="MediaServiceObjectDetectorVersions" ma:hidden="true" ma:indexed="true" ma:internalName="MediaServiceObjectDetectorVersions" ma:readOnly="true">
      <xsd:simpleType>
        <xsd:restriction base="dms:Text"/>
      </xsd:simpleType>
    </xsd:element>
  </xsd:schema>
  <xsd:schema xmlns:xsd="http://www.w3.org/2001/XMLSchema" xmlns:xs="http://www.w3.org/2001/XMLSchema" xmlns:dms="http://schemas.microsoft.com/office/2006/documentManagement/types" xmlns:pc="http://schemas.microsoft.com/office/infopath/2007/PartnerControls" targetNamespace="27ce3a8b-810b-41e5-8107-5c6a2332a27a" elementFormDefault="qualified">
    <xsd:import namespace="http://schemas.microsoft.com/office/2006/documentManagement/types"/>
    <xsd:import namespace="http://schemas.microsoft.com/office/infopath/2007/PartnerControls"/>
    <xsd:element name="TaxCatchAll" ma:index="14" nillable="true" ma:displayName="Taxonomy Catch All Column" ma:hidden="true" ma:list="{9c39b8a8-d785-416c-b499-ab5c44a28e7f}" ma:internalName="TaxCatchAll" ma:showField="CatchAllData" ma:web="27ce3a8b-810b-41e5-8107-5c6a2332a27a">
      <xsd:complexType>
        <xsd:complexContent>
          <xsd:extension base="dms:MultiChoiceLookup">
            <xsd:sequence>
              <xsd:element name="Value" type="dms:Lookup" maxOccurs="unbounded" minOccurs="0" nillable="true"/>
            </xsd:sequence>
          </xsd:extension>
        </xsd:complexContent>
      </xsd:complexType>
    </xsd:element>
    <xsd:element name="SharedWithUsers" ma:index="16" nillable="true" ma:displayName="Shared With"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17" nillable="true" ma:displayName="Shared With Details" ma:internalName="SharedWithDetails" ma:readOnly="true">
      <xsd:simpleType>
        <xsd:restriction base="dms:Note">
          <xsd:maxLength value="255"/>
        </xsd:restriction>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2.xml><?xml version="1.0" encoding="utf-8"?>
<p:properties xmlns:p="http://schemas.microsoft.com/office/2006/metadata/properties" xmlns:xsi="http://www.w3.org/2001/XMLSchema-instance" xmlns:pc="http://schemas.microsoft.com/office/infopath/2007/PartnerControls">
  <documentManagement>
    <_ip_UnifiedCompliancePolicyUIAction xmlns="http://schemas.microsoft.com/sharepoint/v3" xsi:nil="true"/>
    <lcf76f155ced4ddcb4097134ff3c332f xmlns="9573dd44-4260-4d65-815d-8cde3758f336">
      <Terms xmlns="http://schemas.microsoft.com/office/infopath/2007/PartnerControls"/>
    </lcf76f155ced4ddcb4097134ff3c332f>
    <_ip_UnifiedCompliancePolicyProperties xmlns="http://schemas.microsoft.com/sharepoint/v3" xsi:nil="true"/>
    <TaxCatchAll xmlns="27ce3a8b-810b-41e5-8107-5c6a2332a27a" xsi:nil="true"/>
  </documentManagement>
</p:properties>
</file>

<file path=customXml/item3.xml><?xml version="1.0" encoding="utf-8"?>
<?mso-contentType ?>
<FormTemplates xmlns="http://schemas.microsoft.com/sharepoint/v3/contenttype/forms">
  <Display>DocumentLibraryForm</Display>
  <Edit>DocumentLibraryForm</Edit>
  <New>DocumentLibraryForm</New>
</FormTemplates>
</file>

<file path=customXml/itemProps1.xml><?xml version="1.0" encoding="utf-8"?>
<ds:datastoreItem xmlns:ds="http://schemas.openxmlformats.org/officeDocument/2006/customXml" ds:itemID="{2E35C41F-EC88-4F8A-BD5C-4FBAA4ABE818}">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http://schemas.microsoft.com/sharepoint/v3"/>
    <ds:schemaRef ds:uri="9573dd44-4260-4d65-815d-8cde3758f336"/>
    <ds:schemaRef ds:uri="27ce3a8b-810b-41e5-8107-5c6a2332a27a"/>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customXml/itemProps2.xml><?xml version="1.0" encoding="utf-8"?>
<ds:datastoreItem xmlns:ds="http://schemas.openxmlformats.org/officeDocument/2006/customXml" ds:itemID="{1A965362-1028-4ED5-9364-8629FDAFED40}">
  <ds:schemaRefs>
    <ds:schemaRef ds:uri="http://www.w3.org/XML/1998/namespace"/>
    <ds:schemaRef ds:uri="http://schemas.microsoft.com/office/infopath/2007/PartnerControls"/>
    <ds:schemaRef ds:uri="http://schemas.microsoft.com/office/2006/documentManagement/types"/>
    <ds:schemaRef ds:uri="http://purl.org/dc/elements/1.1/"/>
    <ds:schemaRef ds:uri="http://purl.org/dc/dcmitype/"/>
    <ds:schemaRef ds:uri="27ce3a8b-810b-41e5-8107-5c6a2332a27a"/>
    <ds:schemaRef ds:uri="http://schemas.openxmlformats.org/package/2006/metadata/core-properties"/>
    <ds:schemaRef ds:uri="http://purl.org/dc/terms/"/>
    <ds:schemaRef ds:uri="9573dd44-4260-4d65-815d-8cde3758f336"/>
    <ds:schemaRef ds:uri="http://schemas.microsoft.com/sharepoint/v3"/>
    <ds:schemaRef ds:uri="http://schemas.microsoft.com/office/2006/metadata/properties"/>
  </ds:schemaRefs>
</ds:datastoreItem>
</file>

<file path=customXml/itemProps3.xml><?xml version="1.0" encoding="utf-8"?>
<ds:datastoreItem xmlns:ds="http://schemas.openxmlformats.org/officeDocument/2006/customXml" ds:itemID="{CF80C607-7003-4F1F-902B-882E8B726437}">
  <ds:schemaRefs>
    <ds:schemaRef ds:uri="http://schemas.microsoft.com/sharepoint/v3/contenttype/forms"/>
  </ds:schemaRefs>
</ds:datastoreItem>
</file>

<file path=docMetadata/LabelInfo.xml><?xml version="1.0" encoding="utf-8"?>
<clbl:labelList xmlns:clbl="http://schemas.microsoft.com/office/2020/mipLabelMetadata">
  <clbl:label id="{eb81d665-3e31-416c-95bc-cff71e492a40}" enabled="0" method="" siteId="{eb81d665-3e31-416c-95bc-cff71e492a40}" removed="1"/>
</clbl:labelLis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9</vt:i4>
      </vt:variant>
    </vt:vector>
  </HeadingPairs>
  <TitlesOfParts>
    <vt:vector size="9" baseType="lpstr">
      <vt:lpstr>Scorecard</vt:lpstr>
      <vt:lpstr>Overages</vt:lpstr>
      <vt:lpstr>4. ir_MOC_</vt:lpstr>
      <vt:lpstr>4. ir_LCM</vt:lpstr>
      <vt:lpstr>Install Base</vt:lpstr>
      <vt:lpstr>OEM Replacments</vt:lpstr>
      <vt:lpstr>MOC Data</vt:lpstr>
      <vt:lpstr>LCM_Data</vt:lpstr>
      <vt:lpstr>4. ir_LCM_2024- old</vt:lpstr>
    </vt:vector>
  </TitlesOfParts>
  <Manager/>
  <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Ken Chambless</dc:creator>
  <cp:keywords/>
  <dc:description/>
  <cp:lastModifiedBy>Ken Chambless</cp:lastModifiedBy>
  <cp:revision/>
  <dcterms:created xsi:type="dcterms:W3CDTF">2024-07-22T19:47:35Z</dcterms:created>
  <dcterms:modified xsi:type="dcterms:W3CDTF">2026-10-26T13:33:34Z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0x010100ECBE4862AF64304FAC9D004DE925DBD0</vt:lpwstr>
  </property>
  <property fmtid="{D5CDD505-2E9C-101B-9397-08002B2CF9AE}" pid="3" name="MediaServiceImageTags">
    <vt:lpwstr/>
  </property>
</Properties>
</file>